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 Checklist" sheetId="1" r:id="rId5"/>
    <sheet state="visible" name="1-4. Attendance" sheetId="2" r:id="rId6"/>
    <sheet state="visible" name="5. Members Contact List" sheetId="3" r:id="rId7"/>
    <sheet state="visible" name="6. No. of Competitors" sheetId="4" r:id="rId8"/>
    <sheet state="visible" name="7. Rules &amp; Procedures" sheetId="5" r:id="rId9"/>
    <sheet state="visible" name="8. Technical Description" sheetId="6" r:id="rId10"/>
    <sheet state="visible" name="9. Venue" sheetId="7" r:id="rId11"/>
    <sheet state="visible" name="10. Workshop Area" sheetId="8" r:id="rId12"/>
    <sheet state="visible" name="11. Common Furniture" sheetId="9" r:id="rId13"/>
    <sheet state="visible" name="12. Infrastructure List" sheetId="10" r:id="rId14"/>
    <sheet state="visible" name="13. Test Project" sheetId="11" r:id="rId15"/>
    <sheet state="visible" name="14. Modules" sheetId="12" r:id="rId16"/>
    <sheet state="visible" name="15. Competition Timetable" sheetId="13" r:id="rId17"/>
    <sheet state="visible" name="16. Standards and Assessment Gu" sheetId="14" r:id="rId18"/>
    <sheet state="visible" name="17. Marking Scheme" sheetId="15" r:id="rId19"/>
    <sheet state="visible" name="18. Health, Safety" sheetId="16" r:id="rId20"/>
    <sheet state="visible" name="19. AOB" sheetId="17" r:id="rId21"/>
    <sheet state="visible" name="20. Summary" sheetId="18" r:id="rId22"/>
  </sheets>
  <definedNames>
    <definedName hidden="1" localSheetId="17" name="Z_B6689FFD_348C_48A2_867A_8FB718B89750_.wvu.FilterData">'20. Summary'!$A$3:$D$25</definedName>
  </definedNames>
  <calcPr/>
  <customWorkbookViews>
    <customWorkbookView activeSheetId="0" maximized="1" windowHeight="0" windowWidth="0" guid="{B6689FFD-348C-48A2-867A-8FB718B89750}" name="Filter 1"/>
  </customWorkbookViews>
</workbook>
</file>

<file path=xl/sharedStrings.xml><?xml version="1.0" encoding="utf-8"?>
<sst xmlns="http://schemas.openxmlformats.org/spreadsheetml/2006/main" count="816" uniqueCount="367">
  <si>
    <t>Skill Code:</t>
  </si>
  <si>
    <t>Skill Area:</t>
  </si>
  <si>
    <t>IT Software Solutions for Business</t>
  </si>
  <si>
    <t>Jury Chairperson:</t>
  </si>
  <si>
    <t>Chief Expert:</t>
  </si>
  <si>
    <t>Deputy Chief Expert:</t>
  </si>
  <si>
    <t>Workshop Manager:</t>
  </si>
  <si>
    <t xml:space="preserve"> </t>
  </si>
  <si>
    <t>#</t>
  </si>
  <si>
    <t>Items</t>
  </si>
  <si>
    <t>Status</t>
  </si>
  <si>
    <t>Introduction by the participants; Secretariat checks the Attendance and upload Group Photo (Day 1)</t>
  </si>
  <si>
    <r>
      <rPr>
        <rFont val="Arial"/>
        <color theme="1"/>
      </rPr>
      <t xml:space="preserve">Secretariat checks the </t>
    </r>
    <r>
      <rPr>
        <rFont val="Arial"/>
        <b/>
        <color theme="1"/>
      </rPr>
      <t xml:space="preserve">Attendance </t>
    </r>
    <r>
      <rPr>
        <rFont val="Arial"/>
        <color theme="1"/>
      </rPr>
      <t>and upload Group Photo (Day 2)</t>
    </r>
  </si>
  <si>
    <r>
      <rPr>
        <rFont val="Arial"/>
        <color theme="1"/>
      </rPr>
      <t xml:space="preserve">Secretariat checks the </t>
    </r>
    <r>
      <rPr>
        <rFont val="Arial"/>
        <b/>
        <color theme="1"/>
      </rPr>
      <t xml:space="preserve">Attendance </t>
    </r>
    <r>
      <rPr>
        <rFont val="Arial"/>
        <color theme="1"/>
      </rPr>
      <t>and upload Group Photo (Day 3)</t>
    </r>
  </si>
  <si>
    <r>
      <rPr>
        <rFont val="Arial"/>
        <color theme="1"/>
      </rPr>
      <t xml:space="preserve">Secretariat checks the </t>
    </r>
    <r>
      <rPr>
        <rFont val="Arial"/>
        <b/>
        <color theme="1"/>
      </rPr>
      <t xml:space="preserve">Attendance </t>
    </r>
    <r>
      <rPr>
        <rFont val="Arial"/>
        <color theme="1"/>
      </rPr>
      <t>and upload Group Photo (Day 4)</t>
    </r>
  </si>
  <si>
    <r>
      <rPr>
        <rFont val="Arial"/>
        <color theme="1"/>
      </rPr>
      <t xml:space="preserve">Validate and update </t>
    </r>
    <r>
      <rPr>
        <rFont val="Arial"/>
        <b/>
        <color theme="1"/>
      </rPr>
      <t>Members Contact List</t>
    </r>
  </si>
  <si>
    <r>
      <rPr>
        <rFont val="Arial"/>
        <color theme="1"/>
      </rPr>
      <t xml:space="preserve">Confirm number of </t>
    </r>
    <r>
      <rPr>
        <rFont val="Arial"/>
        <b/>
        <color theme="1"/>
      </rPr>
      <t>Competitors</t>
    </r>
    <r>
      <rPr>
        <rFont val="Arial"/>
        <color theme="1"/>
      </rPr>
      <t xml:space="preserve"> per country and their eligibility</t>
    </r>
  </si>
  <si>
    <r>
      <rPr>
        <rFont val="Arial"/>
        <color theme="1"/>
      </rPr>
      <t xml:space="preserve">Confirm review and adherence to the adopted WSASEAN2025 </t>
    </r>
    <r>
      <rPr>
        <rFont val="Arial"/>
        <b/>
        <color theme="1"/>
      </rPr>
      <t>Rules and Procedures</t>
    </r>
  </si>
  <si>
    <r>
      <rPr>
        <rFont val="Arial"/>
        <color theme="1"/>
      </rPr>
      <t xml:space="preserve">Review and update the </t>
    </r>
    <r>
      <rPr>
        <rFont val="Arial"/>
        <b/>
        <color theme="1"/>
      </rPr>
      <t>Technical Description</t>
    </r>
  </si>
  <si>
    <r>
      <rPr>
        <rFont val="Arial"/>
        <color theme="1"/>
      </rPr>
      <t xml:space="preserve">Present the overall layout of the </t>
    </r>
    <r>
      <rPr>
        <rFont val="Arial"/>
        <b/>
        <color theme="1"/>
      </rPr>
      <t>Venue</t>
    </r>
  </si>
  <si>
    <r>
      <rPr>
        <rFont val="Arial"/>
        <color theme="1"/>
      </rPr>
      <t xml:space="preserve">Approve </t>
    </r>
    <r>
      <rPr>
        <rFont val="Arial"/>
        <b/>
        <color theme="1"/>
      </rPr>
      <t>Workshop Area</t>
    </r>
    <r>
      <rPr>
        <rFont val="Arial"/>
        <color theme="1"/>
      </rPr>
      <t xml:space="preserve"> floor plan</t>
    </r>
  </si>
  <si>
    <r>
      <rPr>
        <rFont val="Arial"/>
        <color theme="1"/>
      </rPr>
      <t>Complete</t>
    </r>
    <r>
      <rPr>
        <rFont val="Arial"/>
        <b/>
        <color theme="1"/>
      </rPr>
      <t xml:space="preserve"> Common Furniture and Equipment</t>
    </r>
  </si>
  <si>
    <r>
      <rPr>
        <rFont val="Arial"/>
        <color theme="1"/>
      </rPr>
      <t>Complete</t>
    </r>
    <r>
      <rPr>
        <rFont val="Arial"/>
        <b/>
        <color theme="1"/>
      </rPr>
      <t xml:space="preserve"> Infrastructure List</t>
    </r>
  </si>
  <si>
    <r>
      <rPr>
        <rFont val="Arial"/>
        <color theme="1"/>
      </rPr>
      <t xml:space="preserve">Develop </t>
    </r>
    <r>
      <rPr>
        <rFont val="Arial"/>
        <b/>
        <color theme="1"/>
      </rPr>
      <t>Test Project</t>
    </r>
  </si>
  <si>
    <r>
      <rPr>
        <rFont val="Arial"/>
        <color theme="1"/>
      </rPr>
      <t xml:space="preserve">Develop </t>
    </r>
    <r>
      <rPr>
        <rFont val="Arial"/>
        <b/>
        <color theme="1"/>
      </rPr>
      <t>Competition Modules</t>
    </r>
  </si>
  <si>
    <r>
      <rPr>
        <rFont val="Arial"/>
        <color theme="1"/>
      </rPr>
      <t xml:space="preserve">Develop </t>
    </r>
    <r>
      <rPr>
        <rFont val="Arial"/>
        <b/>
        <color theme="1"/>
      </rPr>
      <t>Competition Timetable</t>
    </r>
  </si>
  <si>
    <r>
      <rPr>
        <rFont val="Arial"/>
        <color theme="1"/>
      </rPr>
      <t xml:space="preserve">Develop the </t>
    </r>
    <r>
      <rPr>
        <rFont val="Arial"/>
        <b/>
        <color theme="1"/>
      </rPr>
      <t>Standards and Assessment Guidelines</t>
    </r>
  </si>
  <si>
    <r>
      <rPr>
        <rFont val="Arial"/>
        <color theme="1"/>
      </rPr>
      <t xml:space="preserve">Develop </t>
    </r>
    <r>
      <rPr>
        <rFont val="Arial"/>
        <b/>
        <color theme="1"/>
      </rPr>
      <t>Marking Scheme</t>
    </r>
    <r>
      <rPr>
        <rFont val="Arial"/>
        <color theme="1"/>
      </rPr>
      <t xml:space="preserve"> and import Marking Scheme to CIS</t>
    </r>
  </si>
  <si>
    <r>
      <rPr>
        <rFont val="Arial"/>
        <color theme="1"/>
      </rPr>
      <t xml:space="preserve">Discuss </t>
    </r>
    <r>
      <rPr>
        <rFont val="Arial"/>
        <b/>
        <color theme="1"/>
      </rPr>
      <t>Health, Safety &amp; Environment</t>
    </r>
  </si>
  <si>
    <t>Any Other Business</t>
  </si>
  <si>
    <r>
      <rPr>
        <rFont val="Arial"/>
        <color theme="1"/>
      </rPr>
      <t xml:space="preserve">Sign final </t>
    </r>
    <r>
      <rPr>
        <rFont val="Arial"/>
        <b/>
        <color theme="1"/>
      </rPr>
      <t>Agreement Form</t>
    </r>
  </si>
  <si>
    <t>*</t>
  </si>
  <si>
    <t>Copy and paste the green check on the appropriate box to update the attendance per day</t>
  </si>
  <si>
    <t>✅</t>
  </si>
  <si>
    <t>No.</t>
  </si>
  <si>
    <t>Name</t>
  </si>
  <si>
    <t>Country</t>
  </si>
  <si>
    <t>Position</t>
  </si>
  <si>
    <t>Day 1</t>
  </si>
  <si>
    <t>Day 2</t>
  </si>
  <si>
    <t>Day 3</t>
  </si>
  <si>
    <t>Day 4</t>
  </si>
  <si>
    <t>Pacharasuda Podhiarn</t>
  </si>
  <si>
    <t>Thailand</t>
  </si>
  <si>
    <t>JC</t>
  </si>
  <si>
    <t>Leow Zhen Zhen</t>
  </si>
  <si>
    <t>Singapore</t>
  </si>
  <si>
    <t>CE</t>
  </si>
  <si>
    <t>Yahya Bin Ibrahim</t>
  </si>
  <si>
    <t>Malaysia</t>
  </si>
  <si>
    <t>DCE</t>
  </si>
  <si>
    <t>Mohammad Rizal bin Haji Mohd. Hendry</t>
  </si>
  <si>
    <t>Brunei Darussalam</t>
  </si>
  <si>
    <t>E</t>
  </si>
  <si>
    <t>Hou Keanan</t>
  </si>
  <si>
    <t>Cambodia</t>
  </si>
  <si>
    <t>Yudy Purnama</t>
  </si>
  <si>
    <t>Indonesia</t>
  </si>
  <si>
    <t>Edwardo G. Reyes</t>
  </si>
  <si>
    <t>Philippines</t>
  </si>
  <si>
    <t>Mary Jane F. Somao-i</t>
  </si>
  <si>
    <t>Sathish s/o Sritharan</t>
  </si>
  <si>
    <t>Vietnam</t>
  </si>
  <si>
    <t>Aung Pyae Hein</t>
  </si>
  <si>
    <t>Myanmar</t>
  </si>
  <si>
    <t>Jerry O. Taroy</t>
  </si>
  <si>
    <t>WM</t>
  </si>
  <si>
    <t>Neome Sarena O. Sebastian</t>
  </si>
  <si>
    <t>Secretariat</t>
  </si>
  <si>
    <t>Total present per day</t>
  </si>
  <si>
    <t>Is attendance checking complete?</t>
  </si>
  <si>
    <t>Yes</t>
  </si>
  <si>
    <t>N/A</t>
  </si>
  <si>
    <t>Took a group photo and uploaded in the folder per day</t>
  </si>
  <si>
    <t>Folder</t>
  </si>
  <si>
    <t>Total No. of Experts</t>
  </si>
  <si>
    <t>Total No. of Participants</t>
  </si>
  <si>
    <t>Roles</t>
  </si>
  <si>
    <t>Organization</t>
  </si>
  <si>
    <t>Email Address</t>
  </si>
  <si>
    <t>Contact No.</t>
  </si>
  <si>
    <t>Department of Skill Development</t>
  </si>
  <si>
    <t>Skill Development Technical Officer, Senior Professional Level</t>
  </si>
  <si>
    <t>pacha.poarn@gmail.com</t>
  </si>
  <si>
    <t>Nanyang Polytechnic</t>
  </si>
  <si>
    <t>Senior Manager</t>
  </si>
  <si>
    <t>leow_zhen_zhen@nyp.edu.sg</t>
  </si>
  <si>
    <t>University Technical Malaysia</t>
  </si>
  <si>
    <t>Lecturer</t>
  </si>
  <si>
    <t>yahya@utem.edu.my</t>
  </si>
  <si>
    <t>+60139017388</t>
  </si>
  <si>
    <t>Institute Brunei Technical Education</t>
  </si>
  <si>
    <t>Technical Instructor</t>
  </si>
  <si>
    <t>rizal.hendry@ibte.edu.bn</t>
  </si>
  <si>
    <t>+6738327710</t>
  </si>
  <si>
    <t>National Institutes of Business</t>
  </si>
  <si>
    <t>Teacher</t>
  </si>
  <si>
    <t>hou.keanan@gmail.com</t>
  </si>
  <si>
    <t>+855969868471</t>
  </si>
  <si>
    <t>BINUS University</t>
  </si>
  <si>
    <r>
      <rPr>
        <rFont val="Arial Narrow"/>
        <color rgb="FF0563C1"/>
        <u/>
      </rPr>
      <t>ypurnama@b</t>
    </r>
    <r>
      <rPr>
        <rFont val="Arial Narrow"/>
        <color rgb="FF000000"/>
        <u/>
      </rPr>
      <t xml:space="preserve">inus.edu </t>
    </r>
  </si>
  <si>
    <t>+62 81290697604</t>
  </si>
  <si>
    <t xml:space="preserve">Computer Communication Development Institute, Inc </t>
  </si>
  <si>
    <t xml:space="preserve">Dean </t>
  </si>
  <si>
    <t>edgreyes2015@gmail.com</t>
  </si>
  <si>
    <t xml:space="preserve">Lyceum of the Philippines University - Manila </t>
  </si>
  <si>
    <t>Faculty</t>
  </si>
  <si>
    <r>
      <rPr>
        <rFont val="Arial Narrow"/>
        <color rgb="FF1155CC"/>
        <u/>
      </rPr>
      <t>mary.somaoi@lpu.edu.ph</t>
    </r>
  </si>
  <si>
    <t xml:space="preserve">Temasek Polytechnic </t>
  </si>
  <si>
    <t>Assistant Director</t>
  </si>
  <si>
    <t>sathish@tp.edu.sg</t>
  </si>
  <si>
    <t>Yangon Region Computer Professionals Association</t>
  </si>
  <si>
    <t>Vice President</t>
  </si>
  <si>
    <t>info.aungpyaehein@gmail.com</t>
  </si>
  <si>
    <t>Sponsor</t>
  </si>
  <si>
    <t>RTC NCR</t>
  </si>
  <si>
    <t>Sr. TESDS</t>
  </si>
  <si>
    <t>jotaroy@tesda.gov.ph</t>
  </si>
  <si>
    <t>TESDA Manila</t>
  </si>
  <si>
    <t>Job Order</t>
  </si>
  <si>
    <t>neomesarenas11@gmail.com</t>
  </si>
  <si>
    <t>Update the status if the Members' Contact List has been updated</t>
  </si>
  <si>
    <t>Completed</t>
  </si>
  <si>
    <t>Competition</t>
  </si>
  <si>
    <t>Individual</t>
  </si>
  <si>
    <t>Age</t>
  </si>
  <si>
    <t>22 yrs old and below</t>
  </si>
  <si>
    <t>No. of Competitors per country</t>
  </si>
  <si>
    <t>Maximum of 2</t>
  </si>
  <si>
    <t>Total No. of Competitors</t>
  </si>
  <si>
    <t>Countries</t>
  </si>
  <si>
    <t>No. of Team/Individual</t>
  </si>
  <si>
    <t>Eligible?</t>
  </si>
  <si>
    <t>Confirmation</t>
  </si>
  <si>
    <t>Remarks</t>
  </si>
  <si>
    <t>Lao PDR</t>
  </si>
  <si>
    <t>Subject for confirmation</t>
  </si>
  <si>
    <t>Timor Leste</t>
  </si>
  <si>
    <t>Total</t>
  </si>
  <si>
    <t>All Experts must confirm review of the WSASEAN 2025 Rules and Procedures</t>
  </si>
  <si>
    <t>Please select N/A in the dropbox if the country is not participating in this skill area</t>
  </si>
  <si>
    <t>If the Rules and Procedures has not been reviewed by the Expert, insert the target date to review on the Remarks column</t>
  </si>
  <si>
    <t>Confirmation of Review?</t>
  </si>
  <si>
    <t>Expert is not around</t>
  </si>
  <si>
    <t>You can find the latest WSI Technical Description in this link</t>
  </si>
  <si>
    <t>Link</t>
  </si>
  <si>
    <t>As the JP discuss each topics, the Secretariat must update the status whether "On going" or "Completed"</t>
  </si>
  <si>
    <r>
      <rPr>
        <rFont val="Arial"/>
        <color theme="1"/>
      </rPr>
      <t>If the review and updating has not been completed after a day, write the target date of completion in the remarks (</t>
    </r>
    <r>
      <rPr>
        <rFont val="Arial"/>
        <i/>
        <color theme="1"/>
      </rPr>
      <t>e.g. To be completed on or before ____</t>
    </r>
    <r>
      <rPr>
        <rFont val="Arial"/>
        <color theme="1"/>
      </rPr>
      <t>)</t>
    </r>
  </si>
  <si>
    <t>Topics</t>
  </si>
  <si>
    <t>Confirmation of Competition Documents to be adopted</t>
  </si>
  <si>
    <t>Adopted WS Lyon 2024</t>
  </si>
  <si>
    <t>Review of Technical Description</t>
  </si>
  <si>
    <t>--| Section 1. Introduction</t>
  </si>
  <si>
    <t>--| Section 2. The WorldSkills Occupational Standards</t>
  </si>
  <si>
    <t>--| Section 3. The Assessment Strategy and Specifications</t>
  </si>
  <si>
    <t>--| Section 4. The Marking Scheme</t>
  </si>
  <si>
    <t>--| Section 5. The Test Project</t>
  </si>
  <si>
    <t>--| Section 6. Skill management and communication</t>
  </si>
  <si>
    <t>--| Section 7. Skill specific safety requirements</t>
  </si>
  <si>
    <t>--| Section 8. Materials and equipments</t>
  </si>
  <si>
    <t>--| Section 9. Skill-specific rules</t>
  </si>
  <si>
    <t>--| Section 10. Visitor and media engagement</t>
  </si>
  <si>
    <t>--| Section 11. Sustainability</t>
  </si>
  <si>
    <t>--| Section 12. References for industry consultation</t>
  </si>
  <si>
    <t>--| Section 13. Appendix</t>
  </si>
  <si>
    <t>Print and sign all pages of the Technical Description</t>
  </si>
  <si>
    <t>For information only of all present.</t>
  </si>
  <si>
    <t>Link to the competition venue final layout:</t>
  </si>
  <si>
    <t>Update the status if the venue final layout has been presented to the Panel</t>
  </si>
  <si>
    <t>Finalize the Workshop Layout</t>
  </si>
  <si>
    <t>Finalize Workshop Layout</t>
  </si>
  <si>
    <t>Sign the pages of the Workshop Layout</t>
  </si>
  <si>
    <t>**Electrical Layout should include two circuit breaker</t>
  </si>
  <si>
    <t>Common Furniture &amp; Equipment Provided</t>
  </si>
  <si>
    <t>Common Area</t>
  </si>
  <si>
    <t>Tables &amp; Chairs</t>
  </si>
  <si>
    <t>Expert Room</t>
  </si>
  <si>
    <t>Whiteboards</t>
  </si>
  <si>
    <t>Desks &amp; Chairs</t>
  </si>
  <si>
    <t>CIS Room</t>
  </si>
  <si>
    <t>A4 Printer</t>
  </si>
  <si>
    <t>Metal Cabinet</t>
  </si>
  <si>
    <t>Storage Shelves</t>
  </si>
  <si>
    <t>Storage Room</t>
  </si>
  <si>
    <t>First Aid Box</t>
  </si>
  <si>
    <t>Chairs</t>
  </si>
  <si>
    <t>Briefing Area</t>
  </si>
  <si>
    <t>Laptop</t>
  </si>
  <si>
    <t>Water Dispenser</t>
  </si>
  <si>
    <t>55" TV with Stand</t>
  </si>
  <si>
    <t>Sound System and Microphone</t>
  </si>
  <si>
    <t>To be added in the Infrastructure List</t>
  </si>
  <si>
    <t>Digital Clock Timer</t>
  </si>
  <si>
    <t>Review of common furnitures and equipment to be provided by the host</t>
  </si>
  <si>
    <t>Identify the Equipment, Tools, Materials etc. for Competition</t>
  </si>
  <si>
    <r>
      <rPr>
        <rFont val="Arial"/>
        <color theme="1"/>
      </rPr>
      <t>If the review and updating has not been completed after a day, write the target date of completion in the remarks (</t>
    </r>
    <r>
      <rPr>
        <rFont val="Arial"/>
        <i/>
        <color theme="1"/>
      </rPr>
      <t>e.g. To be completed on or before ____</t>
    </r>
    <r>
      <rPr>
        <rFont val="Arial"/>
        <color theme="1"/>
      </rPr>
      <t>)</t>
    </r>
  </si>
  <si>
    <t>Identify the all the equipment, tools, materials for the competition</t>
  </si>
  <si>
    <t>--| Validate the quantity per item based on the number of competitors</t>
  </si>
  <si>
    <t>Subject for confirmation of the Host country</t>
  </si>
  <si>
    <t>--| Confirm items to be brought by the competitors (toolbox)</t>
  </si>
  <si>
    <t>--| Confirm items to be supplied by the partners (sponsors)</t>
  </si>
  <si>
    <t>--| Identify items based on priority (High, Medium, Low)</t>
  </si>
  <si>
    <t>Sign the pages of the Infrastructure List</t>
  </si>
  <si>
    <t>** IT Software Category are downloadable files, no need to purchase</t>
  </si>
  <si>
    <t>No</t>
  </si>
  <si>
    <t>Item</t>
  </si>
  <si>
    <t>Category</t>
  </si>
  <si>
    <t>Qty</t>
  </si>
  <si>
    <t>Unit</t>
  </si>
  <si>
    <t>Technical Specifications</t>
  </si>
  <si>
    <t>Priority</t>
  </si>
  <si>
    <t>Source</t>
  </si>
  <si>
    <t>Company (if sponsored)</t>
  </si>
  <si>
    <t>Picture/Link</t>
  </si>
  <si>
    <t>Competitor Desktop</t>
  </si>
  <si>
    <t>Equipment &amp; Tools</t>
  </si>
  <si>
    <t>units</t>
  </si>
  <si>
    <t>Intel i7 Processor or equivalent/ RAM 32GB DDR4 / SSD 512GB + HDD 1TB / GPU P620</t>
  </si>
  <si>
    <t>High</t>
  </si>
  <si>
    <t>Pending</t>
  </si>
  <si>
    <t>FHD Monitor (+ HDMI cable)</t>
  </si>
  <si>
    <t>Generic Non-PnP Monitor 15 inch</t>
  </si>
  <si>
    <t>Keyboard (QWERTY)</t>
  </si>
  <si>
    <t>Generic QWERTY Full Keyboard</t>
  </si>
  <si>
    <t>Mouse</t>
  </si>
  <si>
    <t>Generic Wired Mouse</t>
  </si>
  <si>
    <t>Cable HDMI</t>
  </si>
  <si>
    <t>Generic HDMI Cable 3.0</t>
  </si>
  <si>
    <t>UPS for workstation (1000W)</t>
  </si>
  <si>
    <t>Generic UPS 1000W</t>
  </si>
  <si>
    <t>Mini DisplayPort - HDMI</t>
  </si>
  <si>
    <t>Generic Mini Display Port</t>
  </si>
  <si>
    <t>Microsoft Visual Studio (with MAUI)</t>
  </si>
  <si>
    <t>unit</t>
  </si>
  <si>
    <t>Community 2022 (Open Source)</t>
  </si>
  <si>
    <t>MAUI Emulator</t>
  </si>
  <si>
    <t>Pixel 3 (Open Source)</t>
  </si>
  <si>
    <t>.NET Framework</t>
  </si>
  <si>
    <t>v 4.8.1 (Open Source)</t>
  </si>
  <si>
    <t>.NET Core</t>
  </si>
  <si>
    <t>v 8.0 (Open Source)</t>
  </si>
  <si>
    <t>Microsoft SQL Server</t>
  </si>
  <si>
    <t>2022 (Open Source)</t>
  </si>
  <si>
    <t>Eclipse</t>
  </si>
  <si>
    <t>v 2022-12 (4.26.0) (Open Source)</t>
  </si>
  <si>
    <t>ASP.Net Framework</t>
  </si>
  <si>
    <t>SQL Server Management</t>
  </si>
  <si>
    <t>v 20 (Open Source)</t>
  </si>
  <si>
    <t>JDK</t>
  </si>
  <si>
    <t>Latest Version (Open Source)</t>
  </si>
  <si>
    <t>MySQL</t>
  </si>
  <si>
    <t>Microsoft Office</t>
  </si>
  <si>
    <t>Latest Version by the Host country (Open Source)</t>
  </si>
  <si>
    <t>Medium</t>
  </si>
  <si>
    <t>Notepad++</t>
  </si>
  <si>
    <t>Android （API）Kotlin and Java</t>
  </si>
  <si>
    <t>Ladybug 2024.2.2 (Open Source)</t>
  </si>
  <si>
    <t>Android SDK &amp; API</t>
  </si>
  <si>
    <t>v 34 (Android 14) (Open Source)</t>
  </si>
  <si>
    <t>Android Compile SDK</t>
  </si>
  <si>
    <t>Android Emulator</t>
  </si>
  <si>
    <t>Pixel 6 (Open Source)</t>
  </si>
  <si>
    <t>Filezilla Client for windows</t>
  </si>
  <si>
    <t>VMWare Workstation</t>
  </si>
  <si>
    <t>Latest Version (30days free trial) (Open Source)</t>
  </si>
  <si>
    <t>Expert Laptop</t>
  </si>
  <si>
    <t>Intel i5, 8 GB RAM, 256 GB SSD</t>
  </si>
  <si>
    <t>Projector</t>
  </si>
  <si>
    <t>3400 Lm LCD WXGA, 1280 x 800 16:10 Lamp</t>
  </si>
  <si>
    <t>Expert Desktop</t>
  </si>
  <si>
    <t>FHD Monitor(+HDMI Monitor)</t>
  </si>
  <si>
    <t>Generic Wired mouse</t>
  </si>
  <si>
    <t>Cable HDMI (10 m)</t>
  </si>
  <si>
    <t>UPS (500w)</t>
  </si>
  <si>
    <t>Generic UPS 500 W</t>
  </si>
  <si>
    <t>Cable tester (RJ 45)</t>
  </si>
  <si>
    <t>Generic Cable Tester for RJ45</t>
  </si>
  <si>
    <t>Toolbox/ToolKit</t>
  </si>
  <si>
    <t>FAT MAX (Complete handtool kit)</t>
  </si>
  <si>
    <t>U-UTP Cat.5e</t>
  </si>
  <si>
    <t>box</t>
  </si>
  <si>
    <t>UTP Cable Cat5E</t>
  </si>
  <si>
    <t>RJ-45 connector cover</t>
  </si>
  <si>
    <t>pcs</t>
  </si>
  <si>
    <t>Plastic cable coupler (2.5 mm)</t>
  </si>
  <si>
    <t>500/pcs</t>
  </si>
  <si>
    <t>Network Router</t>
  </si>
  <si>
    <t>Router with 14 ports</t>
  </si>
  <si>
    <t>Server Cabinet (42U)</t>
  </si>
  <si>
    <t>made of wood or metal</t>
  </si>
  <si>
    <t>RJ45 Module Plug Cat5e</t>
  </si>
  <si>
    <t>Generic Modular RJ45 Plug</t>
  </si>
  <si>
    <t>Sound System with Microphone</t>
  </si>
  <si>
    <t>Generic Sound System and Wired/Wireless Microphone</t>
  </si>
  <si>
    <t>Digital Clock</t>
  </si>
  <si>
    <t>Miscellaneous</t>
  </si>
  <si>
    <t>pc</t>
  </si>
  <si>
    <t>Generic Digital Clock</t>
  </si>
  <si>
    <t>Low</t>
  </si>
  <si>
    <r>
      <rPr>
        <rFont val="Arial"/>
        <color theme="1"/>
      </rPr>
      <t>If the review and updating has not been completed after a day, write the target date of completion in the remarks (</t>
    </r>
    <r>
      <rPr>
        <rFont val="Arial"/>
        <i/>
        <color theme="1"/>
      </rPr>
      <t>e.g. To be completed on or before ____</t>
    </r>
    <r>
      <rPr>
        <rFont val="Arial"/>
        <color theme="1"/>
      </rPr>
      <t>)</t>
    </r>
  </si>
  <si>
    <t>Link to the draft Test Project of this skill area</t>
  </si>
  <si>
    <t>Develop the Test Project</t>
  </si>
  <si>
    <t>On going</t>
  </si>
  <si>
    <t>Each expert will bring the Test Project on the 2nd TCM</t>
  </si>
  <si>
    <t>Sign Test Project</t>
  </si>
  <si>
    <t>Module</t>
  </si>
  <si>
    <t>Duration (hrs)</t>
  </si>
  <si>
    <t>Weights (%)</t>
  </si>
  <si>
    <t>Session 1 - Mobile</t>
  </si>
  <si>
    <t>Session 2 - Desktop</t>
  </si>
  <si>
    <t>Session 3 - Mobile</t>
  </si>
  <si>
    <t>Session 4 - Desktop</t>
  </si>
  <si>
    <t xml:space="preserve">Session 5 - Desktop </t>
  </si>
  <si>
    <t>Total competition duration &amp; weights</t>
  </si>
  <si>
    <t>Completed Modules, Duration and Weights for the skill area</t>
  </si>
  <si>
    <t>Legend</t>
  </si>
  <si>
    <t>Reporting time</t>
  </si>
  <si>
    <t>Familiarization/Competition time</t>
  </si>
  <si>
    <t>Lunch time</t>
  </si>
  <si>
    <t>Fun Programming Session (Not Marked)</t>
  </si>
  <si>
    <t>C-2: Familiarization Session</t>
  </si>
  <si>
    <t>C-1: Familiarization Session</t>
  </si>
  <si>
    <t>C1: Competition Session</t>
  </si>
  <si>
    <t>C2: Competition Session</t>
  </si>
  <si>
    <t>C3: Competition Session</t>
  </si>
  <si>
    <t>Completed Competition Timetable</t>
  </si>
  <si>
    <t>Developed/Adopted the updated Standards and Assessment Guidelines</t>
  </si>
  <si>
    <t>Subject</t>
  </si>
  <si>
    <t>No. of Aspects</t>
  </si>
  <si>
    <t>Marks</t>
  </si>
  <si>
    <t>Percentage</t>
  </si>
  <si>
    <t>Measurement</t>
  </si>
  <si>
    <t>118-190</t>
  </si>
  <si>
    <t>Judgement</t>
  </si>
  <si>
    <t>Is Dual Marking Allowed?</t>
  </si>
  <si>
    <t>Adopt and approve the updated Marking Scheme</t>
  </si>
  <si>
    <t>On-going</t>
  </si>
  <si>
    <t>Uploaded the approved Marking Scheme to the CIS</t>
  </si>
  <si>
    <t>Target date of completion of Marking Scheme, if not completed in the 1st TCM</t>
  </si>
  <si>
    <t>To be completed during the 2nd TCM</t>
  </si>
  <si>
    <t>Link to Health, Safety and Environment document</t>
  </si>
  <si>
    <t>Remarks:</t>
  </si>
  <si>
    <t>Update the status if the Health, Safety &amp; Environment has been updated or approved</t>
  </si>
  <si>
    <t>Need to remove all references related to WorldSkills Lyon 2024</t>
  </si>
  <si>
    <t>Items/Topics</t>
  </si>
  <si>
    <r>
      <rPr>
        <rFont val="Arial"/>
        <color theme="1"/>
      </rPr>
      <t xml:space="preserve">Updated the </t>
    </r>
    <r>
      <rPr>
        <rFont val="Arial"/>
        <b/>
        <color theme="1"/>
      </rPr>
      <t>Members Contact List</t>
    </r>
  </si>
  <si>
    <t>--| Total number of Participants in the 1st TCM</t>
  </si>
  <si>
    <t>--| Total number of Experts in the 1st TCM</t>
  </si>
  <si>
    <r>
      <rPr>
        <rFont val="Arial"/>
        <color theme="1"/>
      </rPr>
      <t xml:space="preserve">Confirmed total number of </t>
    </r>
    <r>
      <rPr>
        <rFont val="Arial"/>
        <b/>
        <color theme="1"/>
      </rPr>
      <t>Competitors</t>
    </r>
  </si>
  <si>
    <t>Subject for confirmation (Vietnam and Myanmar)</t>
  </si>
  <si>
    <r>
      <rPr>
        <rFont val="Arial"/>
        <color theme="1"/>
      </rPr>
      <t xml:space="preserve">Confirmed review and adherence to the </t>
    </r>
    <r>
      <rPr>
        <rFont val="Arial"/>
        <b/>
        <color theme="1"/>
      </rPr>
      <t>WSASEAN2025</t>
    </r>
    <r>
      <rPr>
        <rFont val="Arial"/>
        <color theme="1"/>
      </rPr>
      <t xml:space="preserve"> </t>
    </r>
    <r>
      <rPr>
        <rFont val="Arial"/>
        <b/>
        <color theme="1"/>
      </rPr>
      <t>Rules and Procedures</t>
    </r>
  </si>
  <si>
    <r>
      <rPr>
        <rFont val="Arial"/>
        <color theme="1"/>
      </rPr>
      <t xml:space="preserve">Reviewed and updated the </t>
    </r>
    <r>
      <rPr>
        <rFont val="Arial"/>
        <b/>
        <color theme="1"/>
      </rPr>
      <t>Technical Description</t>
    </r>
  </si>
  <si>
    <t>--| Confirmed Competition Documents to be adopted</t>
  </si>
  <si>
    <t>--| Printed and signed all pages of the Technical Description</t>
  </si>
  <si>
    <r>
      <rPr>
        <rFont val="Arial"/>
        <color theme="1"/>
      </rPr>
      <t xml:space="preserve">Presented the overall layout of the </t>
    </r>
    <r>
      <rPr>
        <rFont val="Arial"/>
        <b/>
        <color theme="1"/>
      </rPr>
      <t>Venue</t>
    </r>
  </si>
  <si>
    <r>
      <rPr>
        <rFont val="Arial"/>
        <color theme="1"/>
      </rPr>
      <t xml:space="preserve">Approved the </t>
    </r>
    <r>
      <rPr>
        <rFont val="Arial"/>
        <b/>
        <color theme="1"/>
      </rPr>
      <t>Workshop Area</t>
    </r>
    <r>
      <rPr>
        <rFont val="Arial"/>
        <color theme="1"/>
      </rPr>
      <t xml:space="preserve"> floor plan</t>
    </r>
  </si>
  <si>
    <r>
      <rPr>
        <rFont val="Arial"/>
        <color theme="1"/>
      </rPr>
      <t xml:space="preserve">Reviewed the </t>
    </r>
    <r>
      <rPr>
        <rFont val="Arial"/>
        <b/>
        <color theme="1"/>
      </rPr>
      <t>common furnitures and equipment</t>
    </r>
    <r>
      <rPr>
        <rFont val="Arial"/>
        <color theme="1"/>
      </rPr>
      <t xml:space="preserve"> to be provided by the host</t>
    </r>
  </si>
  <si>
    <r>
      <rPr>
        <rFont val="Arial"/>
        <color theme="1"/>
      </rPr>
      <t>Completed the</t>
    </r>
    <r>
      <rPr>
        <rFont val="Arial"/>
        <b/>
        <color theme="1"/>
      </rPr>
      <t xml:space="preserve"> Infrastructure List</t>
    </r>
  </si>
  <si>
    <r>
      <rPr>
        <rFont val="Arial"/>
        <color theme="1"/>
      </rPr>
      <t xml:space="preserve">Developed the </t>
    </r>
    <r>
      <rPr>
        <rFont val="Arial"/>
        <b/>
        <color theme="1"/>
      </rPr>
      <t>Test Project</t>
    </r>
  </si>
  <si>
    <r>
      <rPr>
        <rFont val="Arial"/>
        <color theme="1"/>
      </rPr>
      <t xml:space="preserve">--| Completed </t>
    </r>
    <r>
      <rPr>
        <rFont val="Arial"/>
        <b/>
        <color theme="1"/>
      </rPr>
      <t>Modules, Duration and Weights</t>
    </r>
    <r>
      <rPr>
        <rFont val="Arial"/>
        <color theme="1"/>
      </rPr>
      <t xml:space="preserve"> for the skill area</t>
    </r>
  </si>
  <si>
    <r>
      <rPr>
        <rFont val="Arial"/>
        <color theme="1"/>
      </rPr>
      <t xml:space="preserve">--| Completed </t>
    </r>
    <r>
      <rPr>
        <rFont val="Arial"/>
        <b/>
        <color theme="1"/>
      </rPr>
      <t>Competition Timetable</t>
    </r>
  </si>
  <si>
    <r>
      <rPr>
        <rFont val="Arial"/>
        <color theme="1"/>
      </rPr>
      <t xml:space="preserve">Developed the </t>
    </r>
    <r>
      <rPr>
        <rFont val="Arial"/>
        <b/>
        <color theme="1"/>
      </rPr>
      <t>Standards and Assessment Guidelines</t>
    </r>
  </si>
  <si>
    <r>
      <rPr>
        <rFont val="Arial"/>
        <color theme="1"/>
      </rPr>
      <t xml:space="preserve">Developed the </t>
    </r>
    <r>
      <rPr>
        <rFont val="Arial"/>
        <b/>
        <color theme="1"/>
      </rPr>
      <t>Marking Scheme</t>
    </r>
  </si>
  <si>
    <t>--| Is Dual Marking Allowed?</t>
  </si>
  <si>
    <t>--| Imported the Marking Scheme to CIS</t>
  </si>
  <si>
    <r>
      <rPr>
        <rFont val="Arial"/>
        <color theme="1"/>
      </rPr>
      <t xml:space="preserve">Discussed the </t>
    </r>
    <r>
      <rPr>
        <rFont val="Arial"/>
        <b/>
        <color theme="1"/>
      </rPr>
      <t>Health, Safety &amp; Environment</t>
    </r>
  </si>
  <si>
    <r>
      <rPr>
        <rFont val="Arial"/>
        <color theme="1"/>
      </rPr>
      <t xml:space="preserve">Signed the final </t>
    </r>
    <r>
      <rPr>
        <rFont val="Arial"/>
        <b/>
        <color theme="1"/>
      </rPr>
      <t>Agreement Form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</si>
</sst>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&quot;:&quot;mm"/>
  </numFmts>
  <fonts count="3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sz val="13.0"/>
      <color theme="1"/>
      <name val="Arial"/>
      <scheme val="minor"/>
    </font>
    <font>
      <sz val="10.0"/>
      <color theme="1"/>
      <name val="Arial"/>
      <scheme val="minor"/>
    </font>
    <font>
      <i/>
      <sz val="10.0"/>
      <color theme="1"/>
      <name val="Arial"/>
      <scheme val="minor"/>
    </font>
    <font>
      <color theme="1"/>
      <name val="Arial Narrow"/>
    </font>
    <font>
      <u/>
      <sz val="10.0"/>
      <color rgb="FF0000FF"/>
    </font>
    <font>
      <b/>
      <sz val="12.0"/>
      <color theme="1"/>
      <name val="Arial"/>
      <scheme val="minor"/>
    </font>
    <font>
      <u/>
      <color rgb="FF1155CC"/>
      <name val="Arial Narrow"/>
    </font>
    <font>
      <u/>
      <color rgb="FF0563C1"/>
      <name val="Arial Narrow"/>
    </font>
    <font>
      <color rgb="FF434343"/>
      <name val="Arial Narrow"/>
    </font>
    <font>
      <u/>
      <color rgb="FF434343"/>
      <name val="Arial Narrow"/>
    </font>
    <font>
      <u/>
      <color rgb="FF1155CC"/>
      <name val="Arial Narrow"/>
    </font>
    <font>
      <i/>
      <color rgb="FFFF0000"/>
      <name val="Arial"/>
      <scheme val="minor"/>
    </font>
    <font>
      <u/>
      <color rgb="FF0000FF"/>
    </font>
    <font>
      <i/>
      <color theme="1"/>
      <name val="Arial"/>
      <scheme val="minor"/>
    </font>
    <font>
      <u/>
      <color rgb="FF0000FF"/>
    </font>
    <font>
      <u/>
      <color rgb="FF0000FF"/>
    </font>
    <font>
      <color rgb="FF434343"/>
      <name val="Roboto"/>
    </font>
    <font>
      <color rgb="FF2C481F"/>
      <name val="Roboto"/>
    </font>
    <font>
      <color theme="1"/>
      <name val="Arial"/>
    </font>
    <font>
      <color rgb="FF2A3243"/>
      <name val="Roboto"/>
    </font>
    <font>
      <color rgb="FF133819"/>
      <name val="Roboto"/>
    </font>
    <font>
      <color rgb="FF3F4170"/>
      <name val="Roboto"/>
    </font>
    <font/>
    <font>
      <color rgb="FFFFFFFF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</font>
    <font>
      <color rgb="FF000000"/>
      <name val="Arial"/>
    </font>
    <font>
      <sz val="10.0"/>
      <color rgb="FF000000"/>
      <name val="Arial"/>
    </font>
    <font>
      <color rgb="FF000000"/>
      <name val="Arial"/>
      <scheme val="minor"/>
    </font>
    <font>
      <u/>
      <sz val="10.0"/>
      <color rgb="FF0000FF"/>
    </font>
    <font>
      <b/>
      <u/>
      <sz val="10.0"/>
      <color rgb="FF0000FF"/>
    </font>
    <font>
      <color rgb="FFFF0000"/>
      <name val="Arial"/>
      <scheme val="minor"/>
    </font>
    <font>
      <b/>
      <color rgb="FF000000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DCE9CB"/>
        <bgColor rgb="FFDCE9CB"/>
      </patternFill>
    </fill>
    <fill>
      <patternFill patternType="solid">
        <fgColor rgb="FFDDEBFF"/>
        <bgColor rgb="FFDDEBFF"/>
      </patternFill>
    </fill>
    <fill>
      <patternFill patternType="solid">
        <fgColor rgb="FFDBEEEF"/>
        <bgColor rgb="FFDBEEEF"/>
      </patternFill>
    </fill>
    <fill>
      <patternFill patternType="solid">
        <fgColor rgb="FFC0E1FF"/>
        <bgColor rgb="FFC0E1FF"/>
      </patternFill>
    </fill>
    <fill>
      <patternFill patternType="solid">
        <fgColor rgb="FF356854"/>
        <bgColor rgb="FF356854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C27BA0"/>
        <bgColor rgb="FFC27BA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 readingOrder="0"/>
    </xf>
    <xf borderId="0" fillId="2" fontId="2" numFmtId="0" xfId="0" applyFill="1" applyFont="1"/>
    <xf borderId="0" fillId="0" fontId="2" numFmtId="0" xfId="0" applyAlignment="1" applyFont="1">
      <alignment horizontal="center"/>
    </xf>
    <xf borderId="0" fillId="0" fontId="2" numFmtId="0" xfId="0" applyFont="1"/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righ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2" fontId="2" numFmtId="0" xfId="0" applyAlignment="1" applyFont="1">
      <alignment shrinkToFit="0" wrapText="0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5" numFmtId="0" xfId="0" applyFont="1"/>
    <xf borderId="0" fillId="0" fontId="6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1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0" numFmtId="0" xfId="0" applyAlignment="1" applyFont="1">
      <alignment horizontal="center" readingOrder="0" shrinkToFit="0" wrapText="1"/>
    </xf>
    <xf borderId="1" fillId="0" fontId="0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shrinkToFit="0" vertical="bottom" wrapText="0"/>
    </xf>
    <xf borderId="1" fillId="0" fontId="0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vertical="top" wrapText="0"/>
    </xf>
    <xf borderId="1" fillId="0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readingOrder="0" shrinkToFit="0" vertical="top" wrapText="0"/>
    </xf>
    <xf borderId="2" fillId="0" fontId="5" numFmtId="0" xfId="0" applyAlignment="1" applyBorder="1" applyFont="1">
      <alignment horizontal="left" readingOrder="0" shrinkToFit="0" vertical="center" wrapText="1"/>
    </xf>
    <xf borderId="2" fillId="0" fontId="0" numFmtId="0" xfId="0" applyAlignment="1" applyBorder="1" applyFont="1">
      <alignment horizontal="center" readingOrder="0" shrinkToFit="0" vertical="center" wrapText="1"/>
    </xf>
    <xf borderId="3" fillId="0" fontId="0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left" readingOrder="0" shrinkToFit="0" vertical="center" wrapText="1"/>
    </xf>
    <xf borderId="4" fillId="0" fontId="0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0"/>
    </xf>
    <xf borderId="0" fillId="0" fontId="5" numFmtId="0" xfId="0" applyFont="1"/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readingOrder="0" vertical="center"/>
    </xf>
    <xf borderId="4" fillId="0" fontId="5" numFmtId="0" xfId="0" applyBorder="1" applyFont="1"/>
    <xf borderId="1" fillId="0" fontId="5" numFmtId="0" xfId="0" applyAlignment="1" applyBorder="1" applyFont="1">
      <alignment readingOrder="0" vertical="center"/>
    </xf>
    <xf borderId="1" fillId="0" fontId="5" numFmtId="0" xfId="0" applyAlignment="1" applyBorder="1" applyFont="1">
      <alignment readingOrder="0" vertical="center"/>
    </xf>
    <xf borderId="6" fillId="0" fontId="5" numFmtId="0" xfId="0" applyBorder="1" applyFont="1"/>
    <xf borderId="1" fillId="0" fontId="8" numFmtId="0" xfId="0" applyAlignment="1" applyBorder="1" applyFont="1">
      <alignment readingOrder="0" vertical="center"/>
    </xf>
    <xf borderId="0" fillId="0" fontId="9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5" numFmtId="0" xfId="0" applyAlignment="1" applyFont="1">
      <alignment horizontal="center" vertical="center"/>
    </xf>
    <xf borderId="1" fillId="0" fontId="5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shrinkToFit="0" vertical="bottom" wrapText="0"/>
    </xf>
    <xf borderId="0" fillId="0" fontId="7" numFmtId="0" xfId="0" applyAlignment="1" applyFont="1">
      <alignment horizontal="center" shrinkToFit="0" vertical="bottom" wrapText="0"/>
    </xf>
    <xf borderId="1" fillId="0" fontId="10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horizontal="center" shrinkToFit="0" vertical="bottom" wrapText="0"/>
    </xf>
    <xf quotePrefix="1" borderId="0" fillId="0" fontId="7" numFmtId="0" xfId="0" applyAlignment="1" applyFont="1">
      <alignment horizontal="center" shrinkToFit="0" vertical="bottom" wrapText="0"/>
    </xf>
    <xf quotePrefix="1" borderId="1" fillId="0" fontId="7" numFmtId="0" xfId="0" applyAlignment="1" applyBorder="1" applyFont="1">
      <alignment horizontal="center" readingOrder="0" shrinkToFit="0" vertical="bottom" wrapText="0"/>
    </xf>
    <xf borderId="1" fillId="0" fontId="7" numFmtId="49" xfId="0" applyAlignment="1" applyBorder="1" applyFont="1" applyNumberFormat="1">
      <alignment horizontal="center" shrinkToFit="0" vertical="bottom" wrapText="0"/>
    </xf>
    <xf borderId="1" fillId="0" fontId="11" numFmtId="0" xfId="0" applyAlignment="1" applyBorder="1" applyFont="1">
      <alignment readingOrder="0" shrinkToFit="0" vertical="bottom" wrapText="0"/>
    </xf>
    <xf quotePrefix="1" borderId="1" fillId="0" fontId="7" numFmtId="0" xfId="0" applyAlignment="1" applyBorder="1" applyFont="1">
      <alignment horizontal="center" shrinkToFit="0" vertical="bottom" wrapText="0"/>
    </xf>
    <xf borderId="1" fillId="3" fontId="12" numFmtId="0" xfId="0" applyAlignment="1" applyBorder="1" applyFill="1" applyFont="1">
      <alignment shrinkToFit="0" vertical="top" wrapText="0"/>
    </xf>
    <xf borderId="1" fillId="3" fontId="13" numFmtId="0" xfId="0" applyAlignment="1" applyBorder="1" applyFont="1">
      <alignment shrinkToFit="0" vertical="top" wrapText="0"/>
    </xf>
    <xf borderId="1" fillId="3" fontId="12" numFmtId="0" xfId="0" applyAlignment="1" applyBorder="1" applyFont="1">
      <alignment horizontal="center" shrinkToFit="0" vertical="top" wrapText="0"/>
    </xf>
    <xf borderId="1" fillId="2" fontId="12" numFmtId="0" xfId="0" applyAlignment="1" applyBorder="1" applyFont="1">
      <alignment shrinkToFit="0" vertical="top" wrapText="0"/>
    </xf>
    <xf borderId="1" fillId="2" fontId="12" numFmtId="0" xfId="0" applyAlignment="1" applyBorder="1" applyFont="1">
      <alignment horizontal="center" shrinkToFit="0" vertical="top" wrapText="0"/>
    </xf>
    <xf borderId="1" fillId="0" fontId="14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shrinkToFit="0" vertical="top" wrapText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0" fillId="0" fontId="5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right" readingOrder="0" shrinkToFit="0" vertical="center" wrapText="0"/>
    </xf>
    <xf borderId="1" fillId="0" fontId="5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shrinkToFit="0" vertical="center" wrapText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15" numFmtId="0" xfId="0" applyAlignment="1" applyFont="1">
      <alignment readingOrder="0" shrinkToFit="0" wrapText="1"/>
    </xf>
    <xf borderId="0" fillId="0" fontId="16" numFmtId="0" xfId="0" applyAlignment="1" applyFont="1">
      <alignment horizontal="center" readingOrder="0" vertical="center"/>
    </xf>
    <xf borderId="0" fillId="0" fontId="15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horizontal="righ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17" numFmtId="0" xfId="0" applyAlignment="1" applyBorder="1" applyFont="1">
      <alignment horizontal="left" readingOrder="0" shrinkToFit="0" vertical="center" wrapText="1"/>
    </xf>
    <xf borderId="1" fillId="0" fontId="2" numFmtId="2" xfId="0" applyAlignment="1" applyBorder="1" applyFont="1" applyNumberFormat="1">
      <alignment horizontal="right" readingOrder="0" shrinkToFit="0" vertical="center" wrapText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horizontal="center" readingOrder="0"/>
    </xf>
    <xf borderId="1" fillId="0" fontId="2" numFmtId="0" xfId="0" applyAlignment="1" applyBorder="1" applyFont="1">
      <alignment horizontal="left" readingOrder="0" shrinkToFit="0" vertical="center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vertical="top"/>
    </xf>
    <xf borderId="1" fillId="2" fontId="20" numFmtId="0" xfId="0" applyAlignment="1" applyBorder="1" applyFont="1">
      <alignment horizontal="center" shrinkToFit="0" vertical="center" wrapText="0"/>
    </xf>
    <xf borderId="1" fillId="2" fontId="20" numFmtId="0" xfId="0" applyAlignment="1" applyBorder="1" applyFont="1">
      <alignment shrinkToFit="0" vertical="center" wrapText="1"/>
    </xf>
    <xf borderId="1" fillId="4" fontId="21" numFmtId="0" xfId="0" applyAlignment="1" applyBorder="1" applyFill="1" applyFont="1">
      <alignment shrinkToFit="0" vertical="center" wrapText="0"/>
    </xf>
    <xf borderId="1" fillId="2" fontId="22" numFmtId="0" xfId="0" applyAlignment="1" applyBorder="1" applyFont="1">
      <alignment shrinkToFit="0" vertical="center" wrapText="0"/>
    </xf>
    <xf borderId="1" fillId="3" fontId="20" numFmtId="0" xfId="0" applyAlignment="1" applyBorder="1" applyFont="1">
      <alignment horizontal="center" shrinkToFit="0" vertical="center" wrapText="0"/>
    </xf>
    <xf borderId="1" fillId="3" fontId="20" numFmtId="0" xfId="0" applyAlignment="1" applyBorder="1" applyFont="1">
      <alignment shrinkToFit="0" vertical="center" wrapText="1"/>
    </xf>
    <xf borderId="1" fillId="3" fontId="22" numFmtId="0" xfId="0" applyAlignment="1" applyBorder="1" applyFont="1">
      <alignment shrinkToFit="0" vertical="center" wrapText="0"/>
    </xf>
    <xf borderId="1" fillId="2" fontId="20" numFmtId="0" xfId="0" applyAlignment="1" applyBorder="1" applyFont="1">
      <alignment horizontal="center" shrinkToFit="0" vertical="center" wrapText="0"/>
    </xf>
    <xf borderId="1" fillId="5" fontId="23" numFmtId="0" xfId="0" applyAlignment="1" applyBorder="1" applyFill="1" applyFont="1">
      <alignment shrinkToFit="0" vertical="center" wrapText="0"/>
    </xf>
    <xf borderId="1" fillId="6" fontId="24" numFmtId="0" xfId="0" applyAlignment="1" applyBorder="1" applyFill="1" applyFont="1">
      <alignment shrinkToFit="0" vertical="center" wrapText="1"/>
    </xf>
    <xf borderId="1" fillId="6" fontId="24" numFmtId="0" xfId="0" applyAlignment="1" applyBorder="1" applyFont="1">
      <alignment shrinkToFit="0" vertical="center" wrapText="0"/>
    </xf>
    <xf borderId="1" fillId="7" fontId="25" numFmtId="0" xfId="0" applyAlignment="1" applyBorder="1" applyFill="1" applyFont="1">
      <alignment shrinkToFit="0" vertical="center" wrapText="0"/>
    </xf>
    <xf borderId="1" fillId="7" fontId="25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4" fillId="0" fontId="26" numFmtId="0" xfId="0" applyBorder="1" applyFont="1"/>
    <xf borderId="0" fillId="0" fontId="2" numFmtId="0" xfId="0" applyAlignment="1" applyFont="1">
      <alignment readingOrder="0" shrinkToFit="0" wrapText="1"/>
    </xf>
    <xf borderId="0" fillId="0" fontId="5" numFmtId="0" xfId="0" applyAlignment="1" applyFont="1">
      <alignment horizontal="center" vertical="top"/>
    </xf>
    <xf borderId="0" fillId="0" fontId="5" numFmtId="0" xfId="0" applyAlignment="1" applyFont="1">
      <alignment horizontal="center" readingOrder="0" vertical="top"/>
    </xf>
    <xf borderId="0" fillId="0" fontId="5" numFmtId="0" xfId="0" applyAlignment="1" applyFont="1">
      <alignment readingOrder="0" vertical="top"/>
    </xf>
    <xf borderId="0" fillId="0" fontId="5" numFmtId="0" xfId="0" applyAlignment="1" applyFont="1">
      <alignment horizontal="center" readingOrder="0" vertical="center"/>
    </xf>
    <xf borderId="1" fillId="8" fontId="27" numFmtId="0" xfId="0" applyAlignment="1" applyBorder="1" applyFill="1" applyFont="1">
      <alignment horizontal="right" readingOrder="0" vertical="center"/>
    </xf>
    <xf borderId="5" fillId="8" fontId="27" numFmtId="0" xfId="0" applyAlignment="1" applyBorder="1" applyFont="1">
      <alignment horizontal="center" readingOrder="0" vertical="center"/>
    </xf>
    <xf borderId="5" fillId="8" fontId="28" numFmtId="0" xfId="0" applyAlignment="1" applyBorder="1" applyFont="1">
      <alignment horizontal="center" readingOrder="0" vertical="center"/>
    </xf>
    <xf borderId="1" fillId="8" fontId="28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right" readingOrder="0" vertical="center"/>
    </xf>
    <xf borderId="1" fillId="2" fontId="2" numFmtId="0" xfId="0" applyAlignment="1" applyBorder="1" applyFont="1">
      <alignment readingOrder="0" vertical="center"/>
    </xf>
    <xf borderId="5" fillId="2" fontId="2" numFmtId="0" xfId="0" applyAlignment="1" applyBorder="1" applyFont="1">
      <alignment readingOrder="0" vertical="center"/>
    </xf>
    <xf borderId="4" fillId="2" fontId="26" numFmtId="0" xfId="0" applyBorder="1" applyFont="1"/>
    <xf borderId="1" fillId="2" fontId="5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right" readingOrder="0" vertical="center"/>
    </xf>
    <xf borderId="1" fillId="3" fontId="2" numFmtId="0" xfId="0" applyAlignment="1" applyBorder="1" applyFont="1">
      <alignment readingOrder="0" vertical="center"/>
    </xf>
    <xf borderId="5" fillId="3" fontId="2" numFmtId="0" xfId="0" applyAlignment="1" applyBorder="1" applyFont="1">
      <alignment readingOrder="0" vertical="center"/>
    </xf>
    <xf borderId="4" fillId="3" fontId="26" numFmtId="0" xfId="0" applyBorder="1" applyFont="1"/>
    <xf borderId="1" fillId="3" fontId="5" numFmtId="0" xfId="0" applyAlignment="1" applyBorder="1" applyFont="1">
      <alignment horizontal="center" readingOrder="0" vertical="center"/>
    </xf>
    <xf borderId="4" fillId="2" fontId="2" numFmtId="0" xfId="0" applyAlignment="1" applyBorder="1" applyFont="1">
      <alignment readingOrder="0" vertical="center"/>
    </xf>
    <xf borderId="4" fillId="3" fontId="2" numFmtId="0" xfId="0" applyAlignment="1" applyBorder="1" applyFont="1">
      <alignment readingOrder="0" vertical="center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shrinkToFit="0" vertical="top" wrapText="1"/>
    </xf>
    <xf borderId="1" fillId="0" fontId="5" numFmtId="0" xfId="0" applyAlignment="1" applyBorder="1" applyFont="1">
      <alignment horizontal="center" shrinkToFit="0" vertical="top" wrapText="0"/>
    </xf>
    <xf borderId="1" fillId="2" fontId="29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top" wrapText="0"/>
    </xf>
    <xf borderId="1" fillId="2" fontId="30" numFmtId="0" xfId="0" applyAlignment="1" applyBorder="1" applyFont="1">
      <alignment horizontal="center" readingOrder="0" shrinkToFit="0" vertical="top" wrapText="0"/>
    </xf>
    <xf borderId="1" fillId="2" fontId="20" numFmtId="0" xfId="0" applyAlignment="1" applyBorder="1" applyFont="1">
      <alignment horizontal="left" readingOrder="0" shrinkToFit="0" vertical="top" wrapText="0"/>
    </xf>
    <xf borderId="1" fillId="0" fontId="30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shrinkToFit="0" vertical="top" wrapText="0"/>
    </xf>
    <xf borderId="1" fillId="3" fontId="29" numFmtId="0" xfId="0" applyAlignment="1" applyBorder="1" applyFont="1">
      <alignment readingOrder="0" shrinkToFit="0" vertical="bottom" wrapText="0"/>
    </xf>
    <xf borderId="1" fillId="3" fontId="30" numFmtId="0" xfId="0" applyAlignment="1" applyBorder="1" applyFont="1">
      <alignment horizontal="center" readingOrder="0" shrinkToFit="0" vertical="top" wrapText="0"/>
    </xf>
    <xf borderId="1" fillId="3" fontId="20" numFmtId="0" xfId="0" applyAlignment="1" applyBorder="1" applyFont="1">
      <alignment horizontal="left" readingOrder="0" shrinkToFit="0" vertical="top" wrapText="0"/>
    </xf>
    <xf borderId="1" fillId="0" fontId="30" numFmtId="0" xfId="0" applyAlignment="1" applyBorder="1" applyFont="1">
      <alignment readingOrder="0" shrinkToFit="0" vertical="top" wrapText="0"/>
    </xf>
    <xf borderId="1" fillId="2" fontId="30" numFmtId="0" xfId="0" applyAlignment="1" applyBorder="1" applyFont="1">
      <alignment readingOrder="0" shrinkToFit="0" vertical="top" wrapText="0"/>
    </xf>
    <xf borderId="1" fillId="3" fontId="30" numFmtId="0" xfId="0" applyAlignment="1" applyBorder="1" applyFont="1">
      <alignment readingOrder="0" shrinkToFit="0" vertical="top" wrapText="0"/>
    </xf>
    <xf borderId="1" fillId="3" fontId="30" numFmtId="0" xfId="0" applyAlignment="1" applyBorder="1" applyFont="1">
      <alignment readingOrder="0" shrinkToFit="0" vertical="top" wrapText="0"/>
    </xf>
    <xf borderId="1" fillId="0" fontId="30" numFmtId="0" xfId="0" applyAlignment="1" applyBorder="1" applyFont="1">
      <alignment horizontal="left" readingOrder="0" shrinkToFit="0" vertical="bottom" wrapText="0"/>
    </xf>
    <xf borderId="1" fillId="2" fontId="30" numFmtId="0" xfId="0" applyAlignment="1" applyBorder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2" fillId="2" fontId="30" numFmtId="0" xfId="0" applyAlignment="1" applyBorder="1" applyFont="1">
      <alignment readingOrder="0" shrinkToFit="0" vertical="top" wrapText="0"/>
    </xf>
    <xf borderId="1" fillId="3" fontId="31" numFmtId="0" xfId="0" applyAlignment="1" applyBorder="1" applyFont="1">
      <alignment readingOrder="0" shrinkToFit="0" vertical="bottom" wrapText="0"/>
    </xf>
    <xf borderId="1" fillId="2" fontId="31" numFmtId="0" xfId="0" applyAlignment="1" applyBorder="1" applyFont="1">
      <alignment readingOrder="0" shrinkToFit="0" vertical="bottom" wrapText="0"/>
    </xf>
    <xf borderId="2" fillId="3" fontId="30" numFmtId="0" xfId="0" applyAlignment="1" applyBorder="1" applyFont="1">
      <alignment readingOrder="0" shrinkToFit="0" vertical="top" wrapText="0"/>
    </xf>
    <xf borderId="2" fillId="3" fontId="30" numFmtId="0" xfId="0" applyAlignment="1" applyBorder="1" applyFont="1">
      <alignment horizontal="center" readingOrder="0" shrinkToFit="0" vertical="top" wrapText="0"/>
    </xf>
    <xf borderId="2" fillId="3" fontId="30" numFmtId="0" xfId="0" applyAlignment="1" applyBorder="1" applyFont="1">
      <alignment readingOrder="0" shrinkToFit="0" vertical="bottom" wrapText="0"/>
    </xf>
    <xf borderId="2" fillId="2" fontId="30" numFmtId="0" xfId="0" applyAlignment="1" applyBorder="1" applyFont="1">
      <alignment readingOrder="0" shrinkToFit="0" vertical="bottom" wrapText="0"/>
    </xf>
    <xf borderId="2" fillId="2" fontId="30" numFmtId="0" xfId="0" applyAlignment="1" applyBorder="1" applyFont="1">
      <alignment horizontal="center" readingOrder="0" shrinkToFit="0" vertical="top" wrapText="0"/>
    </xf>
    <xf borderId="1" fillId="0" fontId="32" numFmtId="0" xfId="0" applyAlignment="1" applyBorder="1" applyFont="1">
      <alignment readingOrder="0" shrinkToFit="0" vertical="center" wrapText="0"/>
    </xf>
    <xf borderId="1" fillId="0" fontId="32" numFmtId="0" xfId="0" applyAlignment="1" applyBorder="1" applyFont="1">
      <alignment horizontal="center" readingOrder="0" shrinkToFit="0" vertical="center" wrapText="0"/>
    </xf>
    <xf borderId="1" fillId="0" fontId="30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15" numFmtId="0" xfId="0" applyAlignment="1" applyFont="1">
      <alignment readingOrder="0"/>
    </xf>
    <xf borderId="0" fillId="0" fontId="33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1" fillId="0" fontId="5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vertical="center"/>
    </xf>
    <xf borderId="0" fillId="0" fontId="2" numFmtId="0" xfId="0" applyAlignment="1" applyFont="1">
      <alignment readingOrder="0" shrinkToFit="0" wrapText="0"/>
    </xf>
    <xf borderId="1" fillId="9" fontId="2" numFmtId="0" xfId="0" applyBorder="1" applyFill="1" applyFont="1"/>
    <xf borderId="1" fillId="10" fontId="2" numFmtId="0" xfId="0" applyBorder="1" applyFill="1" applyFont="1"/>
    <xf borderId="1" fillId="11" fontId="2" numFmtId="0" xfId="0" applyBorder="1" applyFill="1" applyFont="1"/>
    <xf borderId="1" fillId="12" fontId="2" numFmtId="0" xfId="0" applyBorder="1" applyFill="1" applyFont="1"/>
    <xf borderId="5" fillId="0" fontId="2" numFmtId="164" xfId="0" applyAlignment="1" applyBorder="1" applyFont="1" applyNumberFormat="1">
      <alignment horizontal="center" readingOrder="0"/>
    </xf>
    <xf borderId="1" fillId="0" fontId="2" numFmtId="0" xfId="0" applyBorder="1" applyFont="1"/>
    <xf borderId="5" fillId="0" fontId="2" numFmtId="0" xfId="0" applyAlignment="1" applyBorder="1" applyFont="1">
      <alignment readingOrder="0" vertical="center"/>
    </xf>
    <xf borderId="3" fillId="0" fontId="26" numFmtId="0" xfId="0" applyBorder="1" applyFont="1"/>
    <xf borderId="0" fillId="0" fontId="34" numFmtId="0" xfId="0" applyAlignment="1" applyFont="1">
      <alignment readingOrder="0"/>
    </xf>
    <xf borderId="0" fillId="0" fontId="2" numFmtId="0" xfId="0" applyAlignment="1" applyFont="1">
      <alignment horizontal="right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right" shrinkToFit="0" vertical="center" wrapText="0"/>
    </xf>
    <xf borderId="1" fillId="0" fontId="2" numFmtId="0" xfId="0" applyAlignment="1" applyBorder="1" applyFont="1">
      <alignment horizontal="right" readingOrder="0" vertical="center"/>
    </xf>
    <xf borderId="1" fillId="0" fontId="15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0" fillId="0" fontId="35" numFmtId="0" xfId="0" applyAlignment="1" applyFont="1">
      <alignment readingOrder="0"/>
    </xf>
    <xf borderId="0" fillId="0" fontId="5" numFmtId="0" xfId="0" applyAlignment="1" applyFont="1">
      <alignment horizontal="center" readingOrder="0" shrinkToFit="0" vertical="center" wrapText="0"/>
    </xf>
    <xf borderId="1" fillId="2" fontId="36" numFmtId="0" xfId="0" applyAlignment="1" applyBorder="1" applyFont="1">
      <alignment horizontal="center" readingOrder="0" shrinkToFit="0" vertical="center" wrapText="0"/>
    </xf>
    <xf borderId="0" fillId="2" fontId="36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2" fontId="20" numFmtId="0" xfId="0" applyAlignment="1" applyBorder="1" applyFont="1">
      <alignment readingOrder="0" shrinkToFit="0" vertical="center" wrapText="0"/>
    </xf>
    <xf borderId="1" fillId="2" fontId="20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readingOrder="0"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E6CFF2"/>
          <bgColor rgb="FFE6CFF2"/>
        </patternFill>
      </fill>
      <border/>
    </dxf>
    <dxf>
      <font/>
      <fill>
        <patternFill patternType="solid">
          <fgColor rgb="FFBFE1F6"/>
          <bgColor rgb="FFBFE1F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4">
    <tableStyle count="4" pivot="0" name="0. Checkli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-4. Attend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5. Members Contact Li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6. No. of Competito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7. Rules &amp; Procedu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8. Technical Descrip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. Workshop Are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. Common Furnitu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2. Infrastructure Lis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3. Test Projec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4. Modules-style">
      <tableStyleElement dxfId="1" type="headerRow"/>
      <tableStyleElement dxfId="2" type="firstRowStripe"/>
      <tableStyleElement dxfId="8" type="secondRowStripe"/>
      <tableStyleElement dxfId="4" size="0" type="wholeTable"/>
    </tableStyle>
    <tableStyle count="4" pivot="0" name="17. Marking Scheme-style">
      <tableStyleElement dxfId="1" type="headerRow"/>
      <tableStyleElement dxfId="2" type="firstRowStripe"/>
      <tableStyleElement dxfId="8" type="secondRowStripe"/>
      <tableStyleElement dxfId="4" size="0" type="wholeTable"/>
    </tableStyle>
    <tableStyle count="4" pivot="0" name="19. AOB-style">
      <tableStyleElement dxfId="1" type="headerRow"/>
      <tableStyleElement dxfId="2" type="firstRowStripe"/>
      <tableStyleElement dxfId="8" type="secondRowStripe"/>
      <tableStyleElement dxfId="4" size="0" type="wholeTable"/>
    </tableStyle>
    <tableStyle count="4" pivot="0" name="20. Summary-style">
      <tableStyleElement dxfId="1" type="headerRow"/>
      <tableStyleElement dxfId="2" type="firstRowStripe"/>
      <tableStyleElement dxfId="8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8:D28" displayName="Checklist" name="Checklist" id="1">
  <tableColumns count="3">
    <tableColumn name="#" id="1"/>
    <tableColumn name="Items" id="2"/>
    <tableColumn name="Status" id="3"/>
  </tableColumns>
  <tableStyleInfo name="0. Checklist-style" showColumnStripes="0" showFirstColumn="1" showLastColumn="1" showRowStripes="1"/>
</table>
</file>

<file path=xl/tables/table2.xml><?xml version="1.0" encoding="utf-8"?>
<table xmlns="http://schemas.openxmlformats.org/spreadsheetml/2006/main" ref="B5:I20" displayName="Attendance" name="Attendance" id="2">
  <tableColumns count="8">
    <tableColumn name="No." id="1"/>
    <tableColumn name="Name" id="2"/>
    <tableColumn name="Country" id="3"/>
    <tableColumn name="Position" id="4"/>
    <tableColumn name="Day 1" id="5"/>
    <tableColumn name="Day 2" id="6"/>
    <tableColumn name="Day 3" id="7"/>
    <tableColumn name="Day 4" id="8"/>
  </tableColumns>
  <tableStyleInfo name="1-4. Attendance-style" showColumnStripes="0" showFirstColumn="1" showLastColumn="1" showRowStripes="1"/>
</table>
</file>

<file path=xl/tables/table3.xml><?xml version="1.0" encoding="utf-8"?>
<table xmlns="http://schemas.openxmlformats.org/spreadsheetml/2006/main" ref="B6:I20" displayName="Members_Contact_List" name="Members_Contact_List" id="3">
  <tableColumns count="8">
    <tableColumn name="No." id="1"/>
    <tableColumn name="Name" id="2"/>
    <tableColumn name="Country" id="3"/>
    <tableColumn name="Roles" id="4"/>
    <tableColumn name="Organization" id="5"/>
    <tableColumn name="Position" id="6"/>
    <tableColumn name="Email Address" id="7"/>
    <tableColumn name="Contact No." id="8"/>
  </tableColumns>
  <tableStyleInfo name="5. Members Contact List-style" showColumnStripes="0" showFirstColumn="1" showLastColumn="1" showRowStripes="1"/>
</table>
</file>

<file path=xl/tables/table4.xml><?xml version="1.0" encoding="utf-8"?>
<table xmlns="http://schemas.openxmlformats.org/spreadsheetml/2006/main" ref="B8:G20" displayName="No_of_Competitors" name="No_of_Competitors" id="4">
  <tableColumns count="6">
    <tableColumn name="#" id="1"/>
    <tableColumn name="Countries" id="2"/>
    <tableColumn name="No. of Team/Individual" id="3"/>
    <tableColumn name="Eligible?" id="4"/>
    <tableColumn name="Confirmation" id="5"/>
    <tableColumn name="Remarks" id="6"/>
  </tableColumns>
  <tableStyleInfo name="6. No. of Competitors-style" showColumnStripes="0" showFirstColumn="1" showLastColumn="1" showRowStripes="1"/>
</table>
</file>

<file path=xl/tables/table5.xml><?xml version="1.0" encoding="utf-8"?>
<table xmlns="http://schemas.openxmlformats.org/spreadsheetml/2006/main" ref="B7:E18" displayName="Rules_and_Procedures" name="Rules_and_Procedures" id="5">
  <tableColumns count="4">
    <tableColumn name="#" id="1"/>
    <tableColumn name="Countries" id="2"/>
    <tableColumn name="Confirmation of Review?" id="3"/>
    <tableColumn name="Remarks" id="4"/>
  </tableColumns>
  <tableStyleInfo name="7. Rules &amp; Procedures-style" showColumnStripes="0" showFirstColumn="1" showLastColumn="1" showRowStripes="1"/>
</table>
</file>

<file path=xl/tables/table6.xml><?xml version="1.0" encoding="utf-8"?>
<table xmlns="http://schemas.openxmlformats.org/spreadsheetml/2006/main" ref="B7:E23" displayName="Technical_Description" name="Technical_Description" id="6">
  <tableColumns count="4">
    <tableColumn name="#" id="1"/>
    <tableColumn name="Topics" id="2"/>
    <tableColumn name="Status" id="3"/>
    <tableColumn name="Remarks" id="4"/>
  </tableColumns>
  <tableStyleInfo name="8. Technical Description-style" showColumnStripes="0" showFirstColumn="1" showLastColumn="1" showRowStripes="1"/>
</table>
</file>

<file path=xl/tables/table7.xml><?xml version="1.0" encoding="utf-8"?>
<table xmlns="http://schemas.openxmlformats.org/spreadsheetml/2006/main" ref="B5:E7" displayName="Workshop" name="Workshop" id="7">
  <tableColumns count="4">
    <tableColumn name="#" id="1"/>
    <tableColumn name="Items" id="2"/>
    <tableColumn name="Status" id="3"/>
    <tableColumn name="Remarks" id="4"/>
  </tableColumns>
  <tableStyleInfo name="10. Workshop Area-style" showColumnStripes="0" showFirstColumn="1" showLastColumn="1" showRowStripes="1"/>
</table>
</file>

<file path=xl/tables/table8.xml><?xml version="1.0" encoding="utf-8"?>
<table xmlns="http://schemas.openxmlformats.org/spreadsheetml/2006/main" ref="B5:E18" displayName="Common_Furniture_and_Equipment" name="Common_Furniture_and_Equipment" id="8">
  <tableColumns count="4">
    <tableColumn name="#" id="1"/>
    <tableColumn name="Items" id="2"/>
    <tableColumn name="Common Area" id="3"/>
    <tableColumn name="Remarks" id="4"/>
  </tableColumns>
  <tableStyleInfo name="11. Common Furniture-style" showColumnStripes="0" showFirstColumn="1" showLastColumn="1" showRowStripes="1"/>
</table>
</file>

<file path=xl/tables/table9.xml><?xml version="1.0" encoding="utf-8"?>
<table xmlns="http://schemas.openxmlformats.org/spreadsheetml/2006/main" ref="B14:K57" displayName="Infrastructure_List" name="Infrastructure_List" id="9">
  <tableColumns count="10">
    <tableColumn name="No" id="1"/>
    <tableColumn name="Item" id="2"/>
    <tableColumn name="Category" id="3"/>
    <tableColumn name="Qty" id="4"/>
    <tableColumn name="Unit" id="5"/>
    <tableColumn name="Technical Specifications" id="6"/>
    <tableColumn name="Priority" id="7"/>
    <tableColumn name="Source" id="8"/>
    <tableColumn name="Company (if sponsored)" id="9"/>
    <tableColumn name="Picture/Link" id="10"/>
  </tableColumns>
  <tableStyleInfo name="12. Infrastructure List-style" showColumnStripes="0" showFirstColumn="1" showLastColumn="1" showRowStripes="1"/>
</table>
</file>

<file path=xl/tables/table10.xml><?xml version="1.0" encoding="utf-8"?>
<table xmlns="http://schemas.openxmlformats.org/spreadsheetml/2006/main" ref="B6:E8" displayName="Test_Project" name="Test_Project" id="10">
  <tableColumns count="4">
    <tableColumn name="#" id="1"/>
    <tableColumn name="Items" id="2"/>
    <tableColumn name="Status" id="3"/>
    <tableColumn name="Remarks" id="4"/>
  </tableColumns>
  <tableStyleInfo name="13. Test Project-style" showColumnStripes="0" showFirstColumn="1" showLastColumn="1" showRowStripes="1"/>
</table>
</file>

<file path=xl/tables/table11.xml><?xml version="1.0" encoding="utf-8"?>
<table xmlns="http://schemas.openxmlformats.org/spreadsheetml/2006/main" ref="B4:E10" displayName="Modules_Duration_Weights" name="Modules_Duration_Weights" id="11">
  <tableColumns count="4">
    <tableColumn name="No" id="1"/>
    <tableColumn name="Module" id="2"/>
    <tableColumn name="Duration (hrs)" id="3"/>
    <tableColumn name="Weights (%)" id="4"/>
  </tableColumns>
  <tableStyleInfo name="14. Modules-style" showColumnStripes="0" showFirstColumn="1" showLastColumn="1" showRowStripes="1"/>
</table>
</file>

<file path=xl/tables/table12.xml><?xml version="1.0" encoding="utf-8"?>
<table xmlns="http://schemas.openxmlformats.org/spreadsheetml/2006/main" ref="B4:F7" displayName="Marking_Scheme" name="Marking_Scheme" id="12">
  <tableColumns count="5">
    <tableColumn name="#" id="1"/>
    <tableColumn name="Subject" id="2"/>
    <tableColumn name="No. of Aspects" id="3"/>
    <tableColumn name="Marks" id="4"/>
    <tableColumn name="Percentage" id="5"/>
  </tableColumns>
  <tableStyleInfo name="17. Marking Scheme-style" showColumnStripes="0" showFirstColumn="1" showLastColumn="1" showRowStripes="1"/>
</table>
</file>

<file path=xl/tables/table13.xml><?xml version="1.0" encoding="utf-8"?>
<table xmlns="http://schemas.openxmlformats.org/spreadsheetml/2006/main" ref="B4:E8" displayName="AOB" name="AOB" id="13">
  <tableColumns count="4">
    <tableColumn name="#" id="1"/>
    <tableColumn name="Topics" id="2"/>
    <tableColumn name="Status" id="3"/>
    <tableColumn name="Remarks" id="4"/>
  </tableColumns>
  <tableStyleInfo name="19. AOB-style" showColumnStripes="0" showFirstColumn="1" showLastColumn="1" showRowStripes="1"/>
</table>
</file>

<file path=xl/tables/table14.xml><?xml version="1.0" encoding="utf-8"?>
<table xmlns="http://schemas.openxmlformats.org/spreadsheetml/2006/main" ref="A3:D25" displayName="Summary" name="Summary" id="14">
  <tableColumns count="4">
    <tableColumn name="#" id="1"/>
    <tableColumn name="Items/Topics" id="2"/>
    <tableColumn name="Status" id="3"/>
    <tableColumn name="Remarks" id="4"/>
  </tableColumns>
  <tableStyleInfo name="20. 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290iFVXGFIx1yid09cEHUMqBX-HCIAGW?fbclid=IwY2xjawIiIBJleHRuA2FlbQIxMAABHRKd9TkDdr-8lBDGHPxb4MZOa4IfSqJjcB2PToS2zuQ9_4RJax9qO3GEBg_aem_LutBU_aFIEvSBFYbphB1qQ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eow_zhen_zhen@nyp.edu.sg" TargetMode="External"/><Relationship Id="rId2" Type="http://schemas.openxmlformats.org/officeDocument/2006/relationships/hyperlink" Target="mailto:yahya@utem.edu.my" TargetMode="External"/><Relationship Id="rId3" Type="http://schemas.openxmlformats.org/officeDocument/2006/relationships/hyperlink" Target="mailto:hou.keanan@gmail.com" TargetMode="External"/><Relationship Id="rId4" Type="http://schemas.openxmlformats.org/officeDocument/2006/relationships/hyperlink" Target="mailto:yudycaezar@gmail.com" TargetMode="External"/><Relationship Id="rId9" Type="http://schemas.openxmlformats.org/officeDocument/2006/relationships/table" Target="../tables/table3.xml"/><Relationship Id="rId5" Type="http://schemas.openxmlformats.org/officeDocument/2006/relationships/hyperlink" Target="mailto:yahya@utem.edu.my" TargetMode="External"/><Relationship Id="rId6" Type="http://schemas.openxmlformats.org/officeDocument/2006/relationships/hyperlink" Target="mailto:sathish@tp.edu.sg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PXKt3UWfblK0M8ydLkKQDfzlEMA4OLgm?fbclid=IwY2xjawIiIBJleHRuA2FlbQIxMAABHRKd9TkDdr-8lBDGHPxb4MZOa4IfSqJjcB2PToS2zuQ9_4RJax9qO3GEBg_aem_LutBU_aFIEvSBFYbphB1qQ" TargetMode="External"/><Relationship Id="rId2" Type="http://schemas.openxmlformats.org/officeDocument/2006/relationships/drawing" Target="../drawings/drawing6.xml"/><Relationship Id="rId4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kpXcSc8zbQOVS_dXpFJwdNhB2n0tMLLq?fbclid=IwY2xjawIiYEFleHRuA2FlbQIxMAABHaFLHdQ5crEmBMuKF0Y2GWBb_aGFlET9eiV5T10OdPKk9UaXnwXtBZqPOg_aem_szhNBOmZMthr65xbQ324rQ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T2_Ql4jO_Br8UghnTP-HUAzi4MUMt_OP?fbclid=IwY2xjawIiIBJleHRuA2FlbQIxMAABHRKd9TkDdr-8lBDGHPxb4MZOa4IfSqJjcB2PToS2zuQ9_4RJax9qO3GEBg_aem_LutBU_aFIEvSBFYbphB1qQ" TargetMode="External"/><Relationship Id="rId2" Type="http://schemas.openxmlformats.org/officeDocument/2006/relationships/drawing" Target="../drawings/drawing8.xml"/><Relationship Id="rId4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cKdXP7qQPGprgg9oNwDqvvprc_wLsthy?fbclid=IwY2xjawIiIBJleHRuA2FlbQIxMAABHRKd9TkDdr-8lBDGHPxb4MZOa4IfSqJjcB2PToS2zuQ9_4RJax9qO3GEBg_aem_LutBU_aFIEvSBFYbphB1qQ" TargetMode="External"/><Relationship Id="rId2" Type="http://schemas.openxmlformats.org/officeDocument/2006/relationships/drawing" Target="../drawings/drawing11.xml"/><Relationship Id="rId4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hzy0T8EJloE9smWLkzkpslaiuY0Tdtzy?fbclid=IwY2xjawIiIBJleHRuA2FlbQIxMAABHRKd9TkDdr-8lBDGHPxb4MZOa4IfSqJjcB2PToS2zuQ9_4RJax9qO3GEBg_aem_LutBU_aFIEvSBFYbphB1qQ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eOEqN1hwql0IqZNCfQ0nlcgS-lgLbKUl?fbclid=IwY2xjawIiIBJleHRuA2FlbQIxMAABHRKd9TkDdr-8lBDGHPxb4MZOa4IfSqJjcB2PToS2zuQ9_4RJax9qO3GEBg_aem_LutBU_aFIEvSBFYbphB1qQ" TargetMode="External"/><Relationship Id="rId2" Type="http://schemas.openxmlformats.org/officeDocument/2006/relationships/drawing" Target="../drawings/drawing15.xml"/><Relationship Id="rId4" Type="http://schemas.openxmlformats.org/officeDocument/2006/relationships/table" Target="../tables/table12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_-40gF8nQYWp8x9IxSwM-IoYMfWifA0K/view?fbclid=IwY2xjawIiaa9leHRuA2FlbQIxMAABHeYE78TK7N9KqxyK4ATlnr8zzkMR_npYxtPl3aycf4jddA6wXv2JZx4mjw_aem_TAhLugB7HJh305tHWr-0wQ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3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6.88"/>
    <col customWidth="1" min="3" max="3" width="76.38"/>
    <col customWidth="1" min="4" max="4" width="19.63"/>
    <col customWidth="1" hidden="1" min="9" max="9" width="18.75"/>
    <col hidden="1" min="10" max="10" width="12.63"/>
  </cols>
  <sheetData>
    <row r="1">
      <c r="B1" s="1"/>
      <c r="C1" s="2" t="s">
        <v>0</v>
      </c>
      <c r="D1" s="3">
        <v>9.0</v>
      </c>
    </row>
    <row r="2">
      <c r="B2" s="1"/>
      <c r="C2" s="2" t="s">
        <v>1</v>
      </c>
      <c r="D2" s="1" t="s">
        <v>2</v>
      </c>
      <c r="E2" s="1"/>
      <c r="H2" s="4"/>
      <c r="I2" s="4"/>
      <c r="J2" s="4"/>
    </row>
    <row r="3">
      <c r="B3" s="5"/>
      <c r="C3" s="2" t="s">
        <v>3</v>
      </c>
      <c r="D3" s="6" t="str">
        <f>'5. Members Contact List'!C7</f>
        <v>Pacharasuda Podhiarn</v>
      </c>
      <c r="H3" s="4"/>
      <c r="I3" s="7" t="str">
        <f t="shared" ref="I3:J3" si="1">C3</f>
        <v>Jury Chairperson:</v>
      </c>
      <c r="J3" s="4" t="str">
        <f t="shared" si="1"/>
        <v>Pacharasuda Podhiarn</v>
      </c>
    </row>
    <row r="4">
      <c r="B4" s="5"/>
      <c r="C4" s="2" t="s">
        <v>4</v>
      </c>
      <c r="D4" s="6" t="str">
        <f>'5. Members Contact List'!C8</f>
        <v>Leow Zhen Zhen</v>
      </c>
      <c r="H4" s="4"/>
      <c r="I4" s="7" t="str">
        <f t="shared" ref="I4:J4" si="2">C4</f>
        <v>Chief Expert:</v>
      </c>
      <c r="J4" s="4" t="str">
        <f t="shared" si="2"/>
        <v>Leow Zhen Zhen</v>
      </c>
    </row>
    <row r="5">
      <c r="B5" s="5"/>
      <c r="C5" s="2" t="s">
        <v>5</v>
      </c>
      <c r="D5" s="6" t="str">
        <f>'5. Members Contact List'!C9</f>
        <v>Yahya Bin Ibrahim</v>
      </c>
      <c r="I5" s="7" t="str">
        <f t="shared" ref="I5:J5" si="3">C5</f>
        <v>Deputy Chief Expert:</v>
      </c>
      <c r="J5" s="4" t="str">
        <f t="shared" si="3"/>
        <v>Yahya Bin Ibrahim</v>
      </c>
    </row>
    <row r="6">
      <c r="B6" s="5"/>
      <c r="C6" s="2" t="s">
        <v>6</v>
      </c>
      <c r="D6" s="6" t="str">
        <f>'5. Members Contact List'!C19</f>
        <v>Jerry O. Taroy</v>
      </c>
      <c r="I6" s="7" t="str">
        <f t="shared" ref="I6:J6" si="4">C6</f>
        <v>Workshop Manager:</v>
      </c>
      <c r="J6" s="4" t="str">
        <f t="shared" si="4"/>
        <v>Jerry O. Taroy</v>
      </c>
    </row>
    <row r="7">
      <c r="B7" s="5"/>
      <c r="C7" s="5"/>
      <c r="E7" s="8" t="s">
        <v>7</v>
      </c>
    </row>
    <row r="8" ht="22.5" customHeight="1">
      <c r="A8" s="9"/>
      <c r="B8" s="10" t="s">
        <v>8</v>
      </c>
      <c r="C8" s="11" t="s">
        <v>9</v>
      </c>
      <c r="D8" s="12" t="s">
        <v>10</v>
      </c>
      <c r="E8" s="9"/>
      <c r="F8" s="9"/>
      <c r="G8" s="9"/>
      <c r="H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ht="19.5" customHeight="1">
      <c r="A9" s="9"/>
      <c r="B9" s="13">
        <v>1.0</v>
      </c>
      <c r="C9" s="14" t="s">
        <v>11</v>
      </c>
      <c r="D9" s="15" t="str">
        <f>IF(COUNTIF('1-4. Attendance'!F22:F23,"No")=ROWS('1-4. Attendance'!F22:F23), "Not started", IF(COUNTIF('1-4. Attendance'!F22:F23,"&lt;&gt;No")&lt;ROWS('1-4. Attendance'!F22:F23), "On-going", IF(COUNTIF('1-4. Attendance'!F22:F23,"&lt;&gt;No")=ROWS('1-4. Attendance'!F22:F23), "Completed", "Check")))</f>
        <v>Completed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ht="22.5" customHeight="1">
      <c r="A10" s="9"/>
      <c r="B10" s="13">
        <v>2.0</v>
      </c>
      <c r="C10" s="16" t="s">
        <v>12</v>
      </c>
      <c r="D10" s="15" t="str">
        <f>IF(COUNTIF('1-4. Attendance'!G22:G23,"No")=ROWS('1-4. Attendance'!G22:G23), "Not started", IF(COUNTIF('1-4. Attendance'!G22:G23,"&lt;&gt;No")&lt;ROWS('1-4. Attendance'!G22:G23), "On-going", IF(COUNTIF('1-4. Attendance'!G22:G23,"&lt;&gt;No")=ROWS('1-4. Attendance'!G22:G23), "Completed", "Check")))</f>
        <v>Completed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22.5" customHeight="1">
      <c r="A11" s="9"/>
      <c r="B11" s="13">
        <v>3.0</v>
      </c>
      <c r="C11" s="16" t="s">
        <v>13</v>
      </c>
      <c r="D11" s="15" t="str">
        <f>IF(COUNTIF('1-4. Attendance'!H22:H23,"No")=ROWS('1-4. Attendance'!H22:H23), "Not started", IF(COUNTIF('1-4. Attendance'!H22:H23,"&lt;&gt;No")&lt;ROWS('1-4. Attendance'!H22:H23), "On-going", IF(COUNTIF('1-4. Attendance'!H22:H23,"&lt;&gt;No")=ROWS('1-4. Attendance'!H22:H23), "Completed", "Check")))</f>
        <v>Completed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ht="22.5" customHeight="1">
      <c r="A12" s="9"/>
      <c r="B12" s="13">
        <v>4.0</v>
      </c>
      <c r="C12" s="16" t="s">
        <v>14</v>
      </c>
      <c r="D12" s="15" t="str">
        <f>IF(COUNTIF('1-4. Attendance'!I22:I23,"No")=ROWS('1-4. Attendance'!I22:I23), "Not started", IF(COUNTIF('1-4. Attendance'!I22:I23,"&lt;&gt;No")&lt;ROWS('1-4. Attendance'!I22:I23), "On-going", IF(COUNTIF('1-4. Attendance'!I22:I23,"&lt;&gt;No")=ROWS('1-4. Attendance'!I22:I23), "Completed", "Check")))</f>
        <v>Completed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ht="19.5" customHeight="1">
      <c r="A13" s="9"/>
      <c r="B13" s="13">
        <v>5.0</v>
      </c>
      <c r="C13" s="17" t="s">
        <v>15</v>
      </c>
      <c r="D13" s="15" t="str">
        <f>'5. Members Contact List'!E22</f>
        <v>Completed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ht="19.5" customHeight="1">
      <c r="A14" s="9"/>
      <c r="B14" s="13">
        <v>6.0</v>
      </c>
      <c r="C14" s="17" t="s">
        <v>16</v>
      </c>
      <c r="D14" s="15" t="str">
        <f>IF(COUNTIF('6. No. of Competitors'!F9:F19,"No")=ROWS('6. No. of Competitors'!F9:F19), "Not started", IF(COUNTIF('6. No. of Competitors'!F9:F19,"&lt;&gt;No")&lt;ROWS('6. No. of Competitors'!F9:F19), "On-going", IF(COUNTIF('6. No. of Competitors'!F9:F19,"&lt;&gt;No")=ROWS('6. No. of Competitors'!F9:F19), "Completed", "Check")))</f>
        <v>Completed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ht="19.5" customHeight="1">
      <c r="A15" s="9"/>
      <c r="B15" s="13">
        <v>7.0</v>
      </c>
      <c r="C15" s="17" t="s">
        <v>17</v>
      </c>
      <c r="D15" s="15" t="str">
        <f>IF(COUNTIF(Rules_and_Procedures[Confirmation of Review?],"No")=ROWS(Rules_and_Procedures[Confirmation of Review?]), "Not started", IF(COUNTIF(Rules_and_Procedures[Confirmation of Review?],"&lt;&gt;No")&lt;ROWS(Rules_and_Procedures[Confirmation of Review?]), "On-going", IF(COUNTIF(Rules_and_Procedures[Confirmation of Review?],"&lt;&gt;No")=ROWS(Rules_and_Procedures[Confirmation of Review?]), "Completed", "Check")))</f>
        <v>Completed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ht="19.5" customHeight="1">
      <c r="A16" s="9"/>
      <c r="B16" s="13">
        <v>8.0</v>
      </c>
      <c r="C16" s="17" t="s">
        <v>18</v>
      </c>
      <c r="D16" s="15" t="str">
        <f>IF(COUNTIF(Technical_Description[Status],"Not started")=ROWS(Technical_Description[Status]), "Not started", IF(COUNTIF(Technical_Description[Status],"Completed")&lt;ROWS(Technical_Description[Status]), "On-going", IF(COUNTIF(Technical_Description[Status],"Completed")=ROWS(Technical_Description[Status]), "Completed", "Check")))</f>
        <v>Completed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ht="19.5" customHeight="1">
      <c r="A17" s="9"/>
      <c r="B17" s="13">
        <v>9.0</v>
      </c>
      <c r="C17" s="17" t="s">
        <v>19</v>
      </c>
      <c r="D17" s="15" t="str">
        <f>'9. Venue'!D5</f>
        <v>Completed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ht="19.5" customHeight="1">
      <c r="A18" s="9"/>
      <c r="B18" s="13">
        <v>10.0</v>
      </c>
      <c r="C18" s="17" t="s">
        <v>20</v>
      </c>
      <c r="D18" s="15" t="str">
        <f>IF(COUNTIF(Workshop[Status],"Not started")=ROWS(Workshop[Status]), "Not started", IF(COUNTIF(Workshop[Status],"Completed")&lt;ROWS(Workshop[Status]), "On-going", IF(COUNTIF(Workshop[Status],"Completed")=ROWS(Workshop[Status]), "Completed", "Check")))</f>
        <v>Completed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ht="19.5" customHeight="1">
      <c r="A19" s="9"/>
      <c r="B19" s="13">
        <v>11.0</v>
      </c>
      <c r="C19" s="17" t="s">
        <v>21</v>
      </c>
      <c r="D19" s="15" t="str">
        <f>'11. Common Furniture'!E19</f>
        <v>Completed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ht="19.5" customHeight="1">
      <c r="A20" s="9"/>
      <c r="B20" s="13">
        <v>12.0</v>
      </c>
      <c r="C20" s="17" t="s">
        <v>22</v>
      </c>
      <c r="D20" s="15" t="str">
        <f>IF(COUNTIF('12. Infrastructure List'!E6:F11,"Not started")=ROWS('12. Infrastructure List'!E6:F11), "Not started", IF(COUNTIF('12. Infrastructure List'!E6:F11,"Completed")&lt;ROWS('12. Infrastructure List'!E6:F11), "On-going", IF(COUNTIF('12. Infrastructure List'!E6:F11,"Completed")=ROWS('12. Infrastructure List'!E6:F11), "Completed", "Check")))</f>
        <v>Completed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ht="19.5" customHeight="1">
      <c r="A21" s="9"/>
      <c r="B21" s="13">
        <v>13.0</v>
      </c>
      <c r="C21" s="17" t="s">
        <v>23</v>
      </c>
      <c r="D21" s="15" t="str">
        <f>IF(COUNTIF(Test_Project[Status],"Not started")=ROWS(Test_Project[Status]), "Not started", IF(COUNTIF(Test_Project[Status],"Completed")&lt;ROWS(Test_Project[Status]), "On-going", IF(COUNTIF(Test_Project[Status],"Completed")=ROWS(Test_Project[Status]), "Completed", "Check")))</f>
        <v>On-going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ht="19.5" customHeight="1">
      <c r="A22" s="9"/>
      <c r="B22" s="13">
        <v>14.0</v>
      </c>
      <c r="C22" s="17" t="s">
        <v>24</v>
      </c>
      <c r="D22" s="15" t="str">
        <f>'14. Modules'!E12</f>
        <v>Completed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ht="19.5" customHeight="1">
      <c r="A23" s="9"/>
      <c r="B23" s="13">
        <v>15.0</v>
      </c>
      <c r="C23" s="17" t="s">
        <v>25</v>
      </c>
      <c r="D23" s="15" t="str">
        <f>'15. Competition Timetable'!O39</f>
        <v>Completed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ht="19.5" customHeight="1">
      <c r="A24" s="9"/>
      <c r="B24" s="13">
        <v>16.0</v>
      </c>
      <c r="C24" s="17" t="s">
        <v>26</v>
      </c>
      <c r="D24" s="15" t="str">
        <f>'16. Standards and Assessment Gu'!F4</f>
        <v>Completed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ht="19.5" customHeight="1">
      <c r="A25" s="9"/>
      <c r="B25" s="13">
        <v>17.0</v>
      </c>
      <c r="C25" s="17" t="s">
        <v>27</v>
      </c>
      <c r="D25" s="15" t="str">
        <f>IF(COUNTIF('17. Marking Scheme'!F9:F11,"Not started")=ROWS('17. Marking Scheme'!F9:F11), "Not started", IF(COUNTIF('17. Marking Scheme'!F9:F11,"Completed")&lt;ROWS('17. Marking Scheme'!F9:F11), "On-going", IF(COUNTIF('17. Marking Scheme'!F9:F11,"Completed")=ROWS('17. Marking Scheme'!F9:F11), "Completed", "Check")))</f>
        <v>On-going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ht="19.5" customHeight="1">
      <c r="A26" s="9"/>
      <c r="B26" s="13">
        <v>18.0</v>
      </c>
      <c r="C26" s="17" t="s">
        <v>28</v>
      </c>
      <c r="D26" s="18" t="str">
        <f>'18. Health, Safety'!F4</f>
        <v>Completed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ht="19.5" customHeight="1">
      <c r="A27" s="9"/>
      <c r="B27" s="13">
        <v>19.0</v>
      </c>
      <c r="C27" s="19" t="s">
        <v>29</v>
      </c>
      <c r="D27" s="15" t="str">
        <f>IF(COUNTIF(AOB[Status],"Not started")=ROWS(AOB[Status]), "Not started", IF(COUNTIF(AOB[Status],"Completed")&lt;ROWS(AOB[Status]), "On-going", IF(COUNTIF(AOB[Status],"Completed")=ROWS(AOB[Status]), "Completed", "Check")))</f>
        <v>Completed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ht="22.5" customHeight="1">
      <c r="B28" s="13">
        <v>20.0</v>
      </c>
      <c r="C28" s="17" t="s">
        <v>30</v>
      </c>
      <c r="D28" s="20"/>
    </row>
    <row r="29">
      <c r="B29" s="5"/>
      <c r="C29" s="5"/>
    </row>
    <row r="30">
      <c r="B30" s="5"/>
      <c r="C30" s="5"/>
    </row>
    <row r="31">
      <c r="B31" s="5"/>
      <c r="C31" s="5"/>
      <c r="I31" s="21"/>
    </row>
    <row r="32">
      <c r="B32" s="5"/>
      <c r="C32" s="5"/>
    </row>
    <row r="33">
      <c r="B33" s="5"/>
      <c r="C33" s="5"/>
    </row>
    <row r="34">
      <c r="B34" s="5"/>
      <c r="C34" s="5"/>
    </row>
    <row r="35">
      <c r="B35" s="5"/>
      <c r="C35" s="5"/>
    </row>
    <row r="36">
      <c r="B36" s="5"/>
      <c r="C36" s="5"/>
    </row>
    <row r="37">
      <c r="B37" s="5"/>
      <c r="C37" s="5"/>
    </row>
    <row r="38">
      <c r="B38" s="5"/>
      <c r="C38" s="5"/>
    </row>
    <row r="39">
      <c r="B39" s="5"/>
      <c r="C39" s="5"/>
    </row>
    <row r="40">
      <c r="B40" s="5"/>
      <c r="C40" s="5"/>
    </row>
    <row r="41">
      <c r="B41" s="5"/>
      <c r="C41" s="5"/>
    </row>
    <row r="42">
      <c r="B42" s="5"/>
      <c r="C42" s="5"/>
    </row>
    <row r="43">
      <c r="B43" s="5"/>
      <c r="C43" s="5"/>
    </row>
    <row r="44">
      <c r="B44" s="5"/>
      <c r="C44" s="5"/>
    </row>
    <row r="45">
      <c r="B45" s="5"/>
      <c r="C45" s="5"/>
    </row>
    <row r="46">
      <c r="B46" s="5"/>
      <c r="C46" s="5"/>
    </row>
    <row r="47">
      <c r="B47" s="5"/>
      <c r="C47" s="5"/>
    </row>
    <row r="48">
      <c r="B48" s="5"/>
      <c r="C48" s="5"/>
    </row>
    <row r="49">
      <c r="B49" s="5"/>
      <c r="C49" s="5"/>
    </row>
    <row r="50">
      <c r="B50" s="5"/>
      <c r="C50" s="5"/>
    </row>
    <row r="51">
      <c r="B51" s="5"/>
      <c r="C51" s="5"/>
    </row>
    <row r="52">
      <c r="B52" s="5"/>
      <c r="C52" s="5"/>
    </row>
    <row r="53">
      <c r="B53" s="5"/>
      <c r="C53" s="5"/>
    </row>
    <row r="54">
      <c r="B54" s="5"/>
      <c r="C54" s="5"/>
    </row>
    <row r="55">
      <c r="B55" s="5"/>
      <c r="C55" s="5"/>
    </row>
    <row r="56">
      <c r="B56" s="5"/>
      <c r="C56" s="5"/>
    </row>
    <row r="57">
      <c r="B57" s="5"/>
      <c r="C57" s="5"/>
    </row>
    <row r="58">
      <c r="B58" s="5"/>
      <c r="C58" s="5"/>
    </row>
    <row r="59">
      <c r="B59" s="5"/>
      <c r="C59" s="5"/>
    </row>
    <row r="60">
      <c r="B60" s="5"/>
      <c r="C60" s="5"/>
    </row>
    <row r="61">
      <c r="B61" s="5"/>
      <c r="C61" s="5"/>
    </row>
    <row r="62">
      <c r="B62" s="5"/>
      <c r="C62" s="5"/>
    </row>
    <row r="63">
      <c r="B63" s="5"/>
      <c r="C63" s="5"/>
    </row>
    <row r="64">
      <c r="B64" s="5"/>
      <c r="C64" s="5"/>
    </row>
    <row r="65">
      <c r="B65" s="5"/>
      <c r="C65" s="5"/>
    </row>
    <row r="66">
      <c r="B66" s="5"/>
      <c r="C66" s="5"/>
    </row>
    <row r="67">
      <c r="B67" s="5"/>
      <c r="C67" s="5"/>
    </row>
    <row r="68">
      <c r="B68" s="5"/>
      <c r="C68" s="5"/>
    </row>
    <row r="69">
      <c r="B69" s="5"/>
      <c r="C69" s="5"/>
    </row>
    <row r="70">
      <c r="B70" s="5"/>
      <c r="C70" s="5"/>
    </row>
    <row r="71">
      <c r="B71" s="5"/>
      <c r="C71" s="5"/>
    </row>
    <row r="72">
      <c r="B72" s="5"/>
      <c r="C72" s="5"/>
    </row>
    <row r="73">
      <c r="B73" s="5"/>
      <c r="C73" s="5"/>
    </row>
    <row r="74">
      <c r="B74" s="5"/>
      <c r="C74" s="5"/>
    </row>
    <row r="75">
      <c r="B75" s="5"/>
      <c r="C75" s="5"/>
    </row>
    <row r="76">
      <c r="B76" s="5"/>
      <c r="C76" s="5"/>
    </row>
    <row r="77">
      <c r="B77" s="5"/>
      <c r="C77" s="5"/>
    </row>
    <row r="78">
      <c r="B78" s="5"/>
      <c r="C78" s="5"/>
    </row>
    <row r="79">
      <c r="B79" s="5"/>
      <c r="C79" s="5"/>
    </row>
    <row r="80">
      <c r="B80" s="5"/>
      <c r="C80" s="5"/>
    </row>
    <row r="81">
      <c r="B81" s="5"/>
      <c r="C81" s="5"/>
    </row>
    <row r="82">
      <c r="B82" s="5"/>
      <c r="C82" s="5"/>
    </row>
    <row r="83">
      <c r="B83" s="5"/>
      <c r="C83" s="5"/>
    </row>
    <row r="84">
      <c r="B84" s="5"/>
      <c r="C84" s="5"/>
    </row>
    <row r="85">
      <c r="B85" s="5"/>
      <c r="C85" s="5"/>
    </row>
    <row r="86">
      <c r="B86" s="5"/>
      <c r="C86" s="5"/>
    </row>
    <row r="87">
      <c r="B87" s="5"/>
      <c r="C87" s="5"/>
    </row>
    <row r="88">
      <c r="B88" s="5"/>
      <c r="C88" s="5"/>
    </row>
    <row r="89">
      <c r="B89" s="5"/>
      <c r="C89" s="5"/>
    </row>
    <row r="90">
      <c r="B90" s="5"/>
      <c r="C90" s="5"/>
    </row>
    <row r="91">
      <c r="B91" s="5"/>
      <c r="C91" s="5"/>
    </row>
    <row r="92">
      <c r="B92" s="5"/>
      <c r="C92" s="5"/>
    </row>
    <row r="93">
      <c r="B93" s="5"/>
      <c r="C93" s="5"/>
    </row>
    <row r="94">
      <c r="B94" s="5"/>
      <c r="C94" s="5"/>
    </row>
    <row r="95">
      <c r="B95" s="5"/>
      <c r="C95" s="5"/>
    </row>
    <row r="96">
      <c r="B96" s="5"/>
      <c r="C96" s="5"/>
    </row>
    <row r="97">
      <c r="B97" s="5"/>
      <c r="C97" s="5"/>
    </row>
    <row r="98">
      <c r="B98" s="5"/>
      <c r="C98" s="5"/>
    </row>
    <row r="99">
      <c r="B99" s="5"/>
      <c r="C99" s="5"/>
    </row>
    <row r="100">
      <c r="B100" s="5"/>
      <c r="C100" s="5"/>
    </row>
    <row r="101">
      <c r="B101" s="5"/>
      <c r="C101" s="5"/>
    </row>
    <row r="102">
      <c r="B102" s="5"/>
      <c r="C102" s="5"/>
    </row>
    <row r="103">
      <c r="B103" s="5"/>
      <c r="C103" s="5"/>
    </row>
    <row r="104">
      <c r="B104" s="5"/>
      <c r="C104" s="5"/>
    </row>
    <row r="105">
      <c r="B105" s="5"/>
      <c r="C105" s="5"/>
    </row>
    <row r="106">
      <c r="B106" s="5"/>
      <c r="C106" s="5"/>
    </row>
    <row r="107">
      <c r="B107" s="5"/>
      <c r="C107" s="5"/>
    </row>
    <row r="108">
      <c r="B108" s="5"/>
      <c r="C108" s="5"/>
    </row>
    <row r="109">
      <c r="B109" s="5"/>
      <c r="C109" s="5"/>
    </row>
    <row r="110">
      <c r="B110" s="5"/>
      <c r="C110" s="5"/>
    </row>
    <row r="111">
      <c r="B111" s="5"/>
      <c r="C111" s="5"/>
    </row>
    <row r="112">
      <c r="B112" s="5"/>
      <c r="C112" s="5"/>
    </row>
    <row r="113">
      <c r="B113" s="5"/>
      <c r="C113" s="5"/>
    </row>
    <row r="114">
      <c r="B114" s="5"/>
      <c r="C114" s="5"/>
    </row>
    <row r="115">
      <c r="B115" s="5"/>
      <c r="C115" s="5"/>
    </row>
    <row r="116">
      <c r="B116" s="5"/>
      <c r="C116" s="5"/>
    </row>
    <row r="117">
      <c r="B117" s="5"/>
      <c r="C117" s="5"/>
    </row>
    <row r="118">
      <c r="B118" s="5"/>
      <c r="C118" s="5"/>
    </row>
    <row r="119">
      <c r="B119" s="5"/>
      <c r="C119" s="5"/>
    </row>
    <row r="120">
      <c r="B120" s="5"/>
      <c r="C120" s="5"/>
    </row>
    <row r="121">
      <c r="B121" s="5"/>
      <c r="C121" s="5"/>
    </row>
    <row r="122">
      <c r="B122" s="5"/>
      <c r="C122" s="5"/>
    </row>
    <row r="123">
      <c r="B123" s="5"/>
      <c r="C123" s="5"/>
    </row>
    <row r="124">
      <c r="B124" s="5"/>
      <c r="C124" s="5"/>
    </row>
    <row r="125">
      <c r="B125" s="5"/>
      <c r="C125" s="5"/>
    </row>
    <row r="126">
      <c r="B126" s="5"/>
      <c r="C126" s="5"/>
    </row>
    <row r="127">
      <c r="B127" s="5"/>
      <c r="C127" s="5"/>
    </row>
    <row r="128">
      <c r="B128" s="5"/>
      <c r="C128" s="5"/>
    </row>
    <row r="129">
      <c r="B129" s="5"/>
      <c r="C129" s="5"/>
    </row>
    <row r="130">
      <c r="B130" s="5"/>
      <c r="C130" s="5"/>
    </row>
    <row r="131">
      <c r="B131" s="5"/>
      <c r="C131" s="5"/>
    </row>
    <row r="132">
      <c r="B132" s="5"/>
      <c r="C132" s="5"/>
    </row>
    <row r="133">
      <c r="B133" s="5"/>
      <c r="C133" s="5"/>
    </row>
    <row r="134">
      <c r="B134" s="5"/>
      <c r="C134" s="5"/>
    </row>
    <row r="135">
      <c r="B135" s="5"/>
      <c r="C135" s="5"/>
    </row>
    <row r="136">
      <c r="B136" s="5"/>
      <c r="C136" s="5"/>
    </row>
    <row r="137">
      <c r="B137" s="5"/>
      <c r="C137" s="5"/>
    </row>
    <row r="138">
      <c r="B138" s="5"/>
      <c r="C138" s="5"/>
    </row>
    <row r="139">
      <c r="B139" s="5"/>
      <c r="C139" s="5"/>
    </row>
    <row r="140">
      <c r="B140" s="5"/>
      <c r="C140" s="5"/>
    </row>
    <row r="141">
      <c r="B141" s="5"/>
      <c r="C141" s="5"/>
    </row>
    <row r="142">
      <c r="B142" s="5"/>
      <c r="C142" s="5"/>
    </row>
    <row r="143">
      <c r="B143" s="5"/>
      <c r="C143" s="5"/>
    </row>
    <row r="144">
      <c r="B144" s="5"/>
      <c r="C144" s="5"/>
    </row>
    <row r="145">
      <c r="B145" s="5"/>
      <c r="C145" s="5"/>
    </row>
    <row r="146">
      <c r="B146" s="5"/>
      <c r="C146" s="5"/>
    </row>
    <row r="147">
      <c r="B147" s="5"/>
      <c r="C147" s="5"/>
    </row>
    <row r="148">
      <c r="B148" s="5"/>
      <c r="C148" s="5"/>
    </row>
    <row r="149">
      <c r="B149" s="5"/>
      <c r="C149" s="5"/>
    </row>
    <row r="150">
      <c r="B150" s="5"/>
      <c r="C150" s="5"/>
    </row>
    <row r="151">
      <c r="B151" s="5"/>
      <c r="C151" s="5"/>
    </row>
    <row r="152">
      <c r="B152" s="5"/>
      <c r="C152" s="5"/>
    </row>
    <row r="153">
      <c r="B153" s="5"/>
      <c r="C153" s="5"/>
    </row>
    <row r="154">
      <c r="B154" s="5"/>
      <c r="C154" s="5"/>
    </row>
    <row r="155">
      <c r="B155" s="5"/>
      <c r="C155" s="5"/>
    </row>
    <row r="156">
      <c r="B156" s="5"/>
      <c r="C156" s="5"/>
    </row>
    <row r="157">
      <c r="B157" s="5"/>
      <c r="C157" s="5"/>
    </row>
    <row r="158">
      <c r="B158" s="5"/>
      <c r="C158" s="5"/>
    </row>
    <row r="159">
      <c r="B159" s="5"/>
      <c r="C159" s="5"/>
    </row>
    <row r="160">
      <c r="B160" s="5"/>
      <c r="C160" s="5"/>
    </row>
    <row r="161">
      <c r="B161" s="5"/>
      <c r="C161" s="5"/>
    </row>
    <row r="162">
      <c r="B162" s="5"/>
      <c r="C162" s="5"/>
    </row>
    <row r="163">
      <c r="B163" s="5"/>
      <c r="C163" s="5"/>
    </row>
    <row r="164">
      <c r="B164" s="5"/>
      <c r="C164" s="5"/>
    </row>
    <row r="165">
      <c r="B165" s="5"/>
      <c r="C165" s="5"/>
    </row>
    <row r="166">
      <c r="B166" s="5"/>
      <c r="C166" s="5"/>
    </row>
    <row r="167">
      <c r="B167" s="5"/>
      <c r="C167" s="5"/>
    </row>
    <row r="168">
      <c r="B168" s="5"/>
      <c r="C168" s="5"/>
    </row>
    <row r="169">
      <c r="B169" s="5"/>
      <c r="C169" s="5"/>
    </row>
    <row r="170">
      <c r="B170" s="5"/>
      <c r="C170" s="5"/>
    </row>
    <row r="171">
      <c r="B171" s="5"/>
      <c r="C171" s="5"/>
    </row>
    <row r="172">
      <c r="B172" s="5"/>
      <c r="C172" s="5"/>
    </row>
    <row r="173">
      <c r="B173" s="5"/>
      <c r="C173" s="5"/>
    </row>
    <row r="174">
      <c r="B174" s="5"/>
      <c r="C174" s="5"/>
    </row>
    <row r="175">
      <c r="B175" s="5"/>
      <c r="C175" s="5"/>
    </row>
    <row r="176">
      <c r="B176" s="5"/>
      <c r="C176" s="5"/>
    </row>
    <row r="177">
      <c r="B177" s="5"/>
      <c r="C177" s="5"/>
    </row>
    <row r="178">
      <c r="B178" s="5"/>
      <c r="C178" s="5"/>
    </row>
    <row r="179">
      <c r="B179" s="5"/>
      <c r="C179" s="5"/>
    </row>
    <row r="180">
      <c r="B180" s="5"/>
      <c r="C180" s="5"/>
    </row>
    <row r="181">
      <c r="B181" s="5"/>
      <c r="C181" s="5"/>
    </row>
    <row r="182">
      <c r="B182" s="5"/>
      <c r="C182" s="5"/>
    </row>
    <row r="183">
      <c r="B183" s="5"/>
      <c r="C183" s="5"/>
    </row>
    <row r="184">
      <c r="B184" s="5"/>
      <c r="C184" s="5"/>
    </row>
    <row r="185">
      <c r="B185" s="5"/>
      <c r="C185" s="5"/>
    </row>
    <row r="186">
      <c r="B186" s="5"/>
      <c r="C186" s="5"/>
    </row>
    <row r="187">
      <c r="B187" s="5"/>
      <c r="C187" s="5"/>
    </row>
    <row r="188">
      <c r="B188" s="5"/>
      <c r="C188" s="5"/>
    </row>
    <row r="189">
      <c r="B189" s="5"/>
      <c r="C189" s="5"/>
    </row>
    <row r="190">
      <c r="B190" s="5"/>
      <c r="C190" s="5"/>
    </row>
    <row r="191">
      <c r="B191" s="5"/>
      <c r="C191" s="5"/>
    </row>
    <row r="192">
      <c r="B192" s="5"/>
      <c r="C192" s="5"/>
    </row>
    <row r="193">
      <c r="B193" s="5"/>
      <c r="C193" s="5"/>
    </row>
    <row r="194">
      <c r="B194" s="5"/>
      <c r="C194" s="5"/>
    </row>
    <row r="195">
      <c r="B195" s="5"/>
      <c r="C195" s="5"/>
    </row>
    <row r="196">
      <c r="B196" s="5"/>
      <c r="C196" s="5"/>
    </row>
    <row r="197">
      <c r="B197" s="5"/>
      <c r="C197" s="5"/>
    </row>
    <row r="198">
      <c r="B198" s="5"/>
      <c r="C198" s="5"/>
    </row>
    <row r="199">
      <c r="B199" s="5"/>
      <c r="C199" s="5"/>
    </row>
    <row r="200">
      <c r="B200" s="5"/>
      <c r="C200" s="5"/>
    </row>
    <row r="201">
      <c r="B201" s="5"/>
      <c r="C201" s="5"/>
    </row>
    <row r="202">
      <c r="B202" s="5"/>
      <c r="C202" s="5"/>
    </row>
    <row r="203">
      <c r="B203" s="5"/>
      <c r="C203" s="5"/>
    </row>
    <row r="204">
      <c r="B204" s="5"/>
      <c r="C204" s="5"/>
    </row>
    <row r="205">
      <c r="B205" s="5"/>
      <c r="C205" s="5"/>
    </row>
    <row r="206">
      <c r="B206" s="5"/>
      <c r="C206" s="5"/>
    </row>
    <row r="207">
      <c r="B207" s="5"/>
      <c r="C207" s="5"/>
    </row>
    <row r="208">
      <c r="B208" s="5"/>
      <c r="C208" s="5"/>
    </row>
    <row r="209">
      <c r="B209" s="5"/>
      <c r="C209" s="5"/>
    </row>
    <row r="210">
      <c r="B210" s="5"/>
      <c r="C210" s="5"/>
    </row>
    <row r="211">
      <c r="B211" s="5"/>
      <c r="C211" s="5"/>
    </row>
    <row r="212">
      <c r="B212" s="5"/>
      <c r="C212" s="5"/>
    </row>
    <row r="213">
      <c r="B213" s="5"/>
      <c r="C213" s="5"/>
    </row>
    <row r="214">
      <c r="B214" s="5"/>
      <c r="C214" s="5"/>
    </row>
    <row r="215">
      <c r="B215" s="5"/>
      <c r="C215" s="5"/>
    </row>
    <row r="216">
      <c r="B216" s="5"/>
      <c r="C216" s="5"/>
    </row>
    <row r="217">
      <c r="B217" s="5"/>
      <c r="C217" s="5"/>
    </row>
    <row r="218">
      <c r="B218" s="5"/>
      <c r="C218" s="5"/>
    </row>
    <row r="219">
      <c r="B219" s="5"/>
      <c r="C219" s="5"/>
    </row>
    <row r="220">
      <c r="B220" s="5"/>
      <c r="C220" s="5"/>
    </row>
    <row r="221">
      <c r="B221" s="5"/>
      <c r="C221" s="5"/>
    </row>
    <row r="222">
      <c r="B222" s="5"/>
      <c r="C222" s="5"/>
    </row>
    <row r="223">
      <c r="B223" s="5"/>
      <c r="C223" s="5"/>
    </row>
    <row r="224">
      <c r="B224" s="5"/>
      <c r="C224" s="5"/>
    </row>
    <row r="225">
      <c r="B225" s="5"/>
      <c r="C225" s="5"/>
    </row>
    <row r="226">
      <c r="B226" s="5"/>
      <c r="C226" s="5"/>
    </row>
    <row r="227">
      <c r="B227" s="5"/>
      <c r="C227" s="5"/>
    </row>
    <row r="228">
      <c r="B228" s="5"/>
      <c r="C228" s="5"/>
    </row>
    <row r="229">
      <c r="B229" s="5"/>
      <c r="C229" s="5"/>
    </row>
    <row r="230">
      <c r="B230" s="5"/>
      <c r="C230" s="5"/>
    </row>
    <row r="231">
      <c r="B231" s="5"/>
      <c r="C231" s="5"/>
    </row>
    <row r="232">
      <c r="B232" s="5"/>
      <c r="C232" s="5"/>
    </row>
    <row r="233">
      <c r="B233" s="5"/>
      <c r="C233" s="5"/>
    </row>
    <row r="234">
      <c r="B234" s="5"/>
      <c r="C234" s="5"/>
    </row>
    <row r="235">
      <c r="B235" s="5"/>
      <c r="C235" s="5"/>
    </row>
    <row r="236">
      <c r="B236" s="5"/>
      <c r="C236" s="5"/>
    </row>
    <row r="237">
      <c r="B237" s="5"/>
      <c r="C237" s="5"/>
    </row>
    <row r="238">
      <c r="B238" s="5"/>
      <c r="C238" s="5"/>
    </row>
    <row r="239">
      <c r="B239" s="5"/>
      <c r="C239" s="5"/>
    </row>
    <row r="240">
      <c r="B240" s="5"/>
      <c r="C240" s="5"/>
    </row>
    <row r="241">
      <c r="B241" s="5"/>
      <c r="C241" s="5"/>
    </row>
    <row r="242">
      <c r="B242" s="5"/>
      <c r="C242" s="5"/>
    </row>
    <row r="243">
      <c r="B243" s="5"/>
      <c r="C243" s="5"/>
    </row>
    <row r="244">
      <c r="B244" s="5"/>
      <c r="C244" s="5"/>
    </row>
    <row r="245">
      <c r="B245" s="5"/>
      <c r="C245" s="5"/>
    </row>
    <row r="246">
      <c r="B246" s="5"/>
      <c r="C246" s="5"/>
    </row>
    <row r="247">
      <c r="B247" s="5"/>
      <c r="C247" s="5"/>
    </row>
    <row r="248">
      <c r="B248" s="5"/>
      <c r="C248" s="5"/>
    </row>
    <row r="249">
      <c r="B249" s="5"/>
      <c r="C249" s="5"/>
    </row>
    <row r="250">
      <c r="B250" s="5"/>
      <c r="C250" s="5"/>
    </row>
    <row r="251">
      <c r="B251" s="5"/>
      <c r="C251" s="5"/>
    </row>
    <row r="252">
      <c r="B252" s="5"/>
      <c r="C252" s="5"/>
    </row>
    <row r="253">
      <c r="B253" s="5"/>
      <c r="C253" s="5"/>
    </row>
    <row r="254">
      <c r="B254" s="5"/>
      <c r="C254" s="5"/>
    </row>
    <row r="255">
      <c r="B255" s="5"/>
      <c r="C255" s="5"/>
    </row>
    <row r="256">
      <c r="B256" s="5"/>
      <c r="C256" s="5"/>
    </row>
    <row r="257">
      <c r="B257" s="5"/>
      <c r="C257" s="5"/>
    </row>
    <row r="258">
      <c r="B258" s="5"/>
      <c r="C258" s="5"/>
    </row>
    <row r="259">
      <c r="B259" s="5"/>
      <c r="C259" s="5"/>
    </row>
    <row r="260">
      <c r="B260" s="5"/>
      <c r="C260" s="5"/>
    </row>
    <row r="261">
      <c r="B261" s="5"/>
      <c r="C261" s="5"/>
    </row>
    <row r="262">
      <c r="B262" s="5"/>
      <c r="C262" s="5"/>
    </row>
    <row r="263">
      <c r="B263" s="5"/>
      <c r="C263" s="5"/>
    </row>
    <row r="264">
      <c r="B264" s="5"/>
      <c r="C264" s="5"/>
    </row>
    <row r="265">
      <c r="B265" s="5"/>
      <c r="C265" s="5"/>
    </row>
    <row r="266">
      <c r="B266" s="5"/>
      <c r="C266" s="5"/>
    </row>
    <row r="267">
      <c r="B267" s="5"/>
      <c r="C267" s="5"/>
    </row>
    <row r="268">
      <c r="B268" s="5"/>
      <c r="C268" s="5"/>
    </row>
    <row r="269">
      <c r="B269" s="5"/>
      <c r="C269" s="5"/>
    </row>
    <row r="270">
      <c r="B270" s="5"/>
      <c r="C270" s="5"/>
    </row>
    <row r="271">
      <c r="B271" s="5"/>
      <c r="C271" s="5"/>
    </row>
    <row r="272">
      <c r="B272" s="5"/>
      <c r="C272" s="5"/>
    </row>
    <row r="273">
      <c r="B273" s="5"/>
      <c r="C273" s="5"/>
    </row>
    <row r="274">
      <c r="B274" s="5"/>
      <c r="C274" s="5"/>
    </row>
    <row r="275">
      <c r="B275" s="5"/>
      <c r="C275" s="5"/>
    </row>
    <row r="276">
      <c r="B276" s="5"/>
      <c r="C276" s="5"/>
    </row>
    <row r="277">
      <c r="B277" s="5"/>
      <c r="C277" s="5"/>
    </row>
    <row r="278">
      <c r="B278" s="5"/>
      <c r="C278" s="5"/>
    </row>
    <row r="279">
      <c r="B279" s="5"/>
      <c r="C279" s="5"/>
    </row>
    <row r="280">
      <c r="B280" s="5"/>
      <c r="C280" s="5"/>
    </row>
    <row r="281">
      <c r="B281" s="5"/>
      <c r="C281" s="5"/>
    </row>
    <row r="282">
      <c r="B282" s="5"/>
      <c r="C282" s="5"/>
    </row>
    <row r="283">
      <c r="B283" s="5"/>
      <c r="C283" s="5"/>
    </row>
    <row r="284">
      <c r="B284" s="5"/>
      <c r="C284" s="5"/>
    </row>
    <row r="285">
      <c r="B285" s="5"/>
      <c r="C285" s="5"/>
    </row>
    <row r="286">
      <c r="B286" s="5"/>
      <c r="C286" s="5"/>
    </row>
    <row r="287">
      <c r="B287" s="5"/>
      <c r="C287" s="5"/>
    </row>
    <row r="288">
      <c r="B288" s="5"/>
      <c r="C288" s="5"/>
    </row>
    <row r="289">
      <c r="B289" s="5"/>
      <c r="C289" s="5"/>
    </row>
    <row r="290">
      <c r="B290" s="5"/>
      <c r="C290" s="5"/>
    </row>
    <row r="291">
      <c r="B291" s="5"/>
      <c r="C291" s="5"/>
    </row>
    <row r="292">
      <c r="B292" s="5"/>
      <c r="C292" s="5"/>
    </row>
    <row r="293">
      <c r="B293" s="5"/>
      <c r="C293" s="5"/>
    </row>
    <row r="294">
      <c r="B294" s="5"/>
      <c r="C294" s="5"/>
    </row>
    <row r="295">
      <c r="B295" s="5"/>
      <c r="C295" s="5"/>
    </row>
    <row r="296">
      <c r="B296" s="5"/>
      <c r="C296" s="5"/>
    </row>
    <row r="297">
      <c r="B297" s="5"/>
      <c r="C297" s="5"/>
    </row>
    <row r="298">
      <c r="B298" s="5"/>
      <c r="C298" s="5"/>
    </row>
    <row r="299">
      <c r="B299" s="5"/>
      <c r="C299" s="5"/>
    </row>
    <row r="300">
      <c r="B300" s="5"/>
      <c r="C300" s="5"/>
    </row>
    <row r="301">
      <c r="B301" s="5"/>
      <c r="C301" s="5"/>
    </row>
    <row r="302">
      <c r="B302" s="5"/>
      <c r="C302" s="5"/>
    </row>
    <row r="303">
      <c r="B303" s="5"/>
      <c r="C303" s="5"/>
    </row>
    <row r="304">
      <c r="B304" s="5"/>
      <c r="C304" s="5"/>
    </row>
    <row r="305">
      <c r="B305" s="5"/>
      <c r="C305" s="5"/>
    </row>
    <row r="306">
      <c r="B306" s="5"/>
      <c r="C306" s="5"/>
    </row>
    <row r="307">
      <c r="B307" s="5"/>
      <c r="C307" s="5"/>
    </row>
    <row r="308">
      <c r="B308" s="5"/>
      <c r="C308" s="5"/>
    </row>
    <row r="309">
      <c r="B309" s="5"/>
      <c r="C309" s="5"/>
    </row>
    <row r="310">
      <c r="B310" s="5"/>
      <c r="C310" s="5"/>
    </row>
    <row r="311">
      <c r="B311" s="5"/>
      <c r="C311" s="5"/>
    </row>
    <row r="312">
      <c r="B312" s="5"/>
      <c r="C312" s="5"/>
    </row>
    <row r="313">
      <c r="B313" s="5"/>
      <c r="C313" s="5"/>
    </row>
    <row r="314">
      <c r="B314" s="5"/>
      <c r="C314" s="5"/>
    </row>
    <row r="315">
      <c r="B315" s="5"/>
      <c r="C315" s="5"/>
    </row>
    <row r="316">
      <c r="B316" s="5"/>
      <c r="C316" s="5"/>
    </row>
    <row r="317">
      <c r="B317" s="5"/>
      <c r="C317" s="5"/>
    </row>
    <row r="318">
      <c r="B318" s="5"/>
      <c r="C318" s="5"/>
    </row>
    <row r="319">
      <c r="B319" s="5"/>
      <c r="C319" s="5"/>
    </row>
    <row r="320">
      <c r="B320" s="5"/>
      <c r="C320" s="5"/>
    </row>
    <row r="321">
      <c r="B321" s="5"/>
      <c r="C321" s="5"/>
    </row>
    <row r="322">
      <c r="B322" s="5"/>
      <c r="C322" s="5"/>
    </row>
    <row r="323">
      <c r="B323" s="5"/>
      <c r="C323" s="5"/>
    </row>
    <row r="324">
      <c r="B324" s="5"/>
      <c r="C324" s="5"/>
    </row>
    <row r="325">
      <c r="B325" s="5"/>
      <c r="C325" s="5"/>
    </row>
    <row r="326">
      <c r="B326" s="5"/>
      <c r="C326" s="5"/>
    </row>
    <row r="327">
      <c r="B327" s="5"/>
      <c r="C327" s="5"/>
    </row>
    <row r="328">
      <c r="B328" s="5"/>
      <c r="C328" s="5"/>
    </row>
    <row r="329">
      <c r="B329" s="5"/>
      <c r="C329" s="5"/>
    </row>
    <row r="330">
      <c r="B330" s="5"/>
      <c r="C330" s="5"/>
    </row>
    <row r="331">
      <c r="B331" s="5"/>
      <c r="C331" s="5"/>
    </row>
    <row r="332">
      <c r="B332" s="5"/>
      <c r="C332" s="5"/>
    </row>
    <row r="333">
      <c r="B333" s="5"/>
      <c r="C333" s="5"/>
    </row>
    <row r="334">
      <c r="B334" s="5"/>
      <c r="C334" s="5"/>
    </row>
    <row r="335">
      <c r="B335" s="5"/>
      <c r="C335" s="5"/>
    </row>
    <row r="336">
      <c r="B336" s="5"/>
      <c r="C336" s="5"/>
    </row>
    <row r="337">
      <c r="B337" s="5"/>
      <c r="C337" s="5"/>
    </row>
    <row r="338">
      <c r="B338" s="5"/>
      <c r="C338" s="5"/>
    </row>
    <row r="339">
      <c r="B339" s="5"/>
      <c r="C339" s="5"/>
    </row>
    <row r="340">
      <c r="B340" s="5"/>
      <c r="C340" s="5"/>
    </row>
    <row r="341">
      <c r="B341" s="5"/>
      <c r="C341" s="5"/>
    </row>
    <row r="342">
      <c r="B342" s="5"/>
      <c r="C342" s="5"/>
    </row>
    <row r="343">
      <c r="B343" s="5"/>
      <c r="C343" s="5"/>
    </row>
    <row r="344">
      <c r="B344" s="5"/>
      <c r="C344" s="5"/>
    </row>
    <row r="345">
      <c r="B345" s="5"/>
      <c r="C345" s="5"/>
    </row>
    <row r="346">
      <c r="B346" s="5"/>
      <c r="C346" s="5"/>
    </row>
    <row r="347">
      <c r="B347" s="5"/>
      <c r="C347" s="5"/>
    </row>
    <row r="348">
      <c r="B348" s="5"/>
      <c r="C348" s="5"/>
    </row>
    <row r="349">
      <c r="B349" s="5"/>
      <c r="C349" s="5"/>
    </row>
    <row r="350">
      <c r="B350" s="5"/>
      <c r="C350" s="5"/>
    </row>
    <row r="351">
      <c r="B351" s="5"/>
      <c r="C351" s="5"/>
    </row>
    <row r="352">
      <c r="B352" s="5"/>
      <c r="C352" s="5"/>
    </row>
    <row r="353">
      <c r="B353" s="5"/>
      <c r="C353" s="5"/>
    </row>
    <row r="354">
      <c r="B354" s="5"/>
      <c r="C354" s="5"/>
    </row>
    <row r="355">
      <c r="B355" s="5"/>
      <c r="C355" s="5"/>
    </row>
    <row r="356">
      <c r="B356" s="5"/>
      <c r="C356" s="5"/>
    </row>
    <row r="357">
      <c r="B357" s="5"/>
      <c r="C357" s="5"/>
    </row>
    <row r="358">
      <c r="B358" s="5"/>
      <c r="C358" s="5"/>
    </row>
    <row r="359">
      <c r="B359" s="5"/>
      <c r="C359" s="5"/>
    </row>
    <row r="360">
      <c r="B360" s="5"/>
      <c r="C360" s="5"/>
    </row>
    <row r="361">
      <c r="B361" s="5"/>
      <c r="C361" s="5"/>
    </row>
    <row r="362">
      <c r="B362" s="5"/>
      <c r="C362" s="5"/>
    </row>
    <row r="363">
      <c r="B363" s="5"/>
      <c r="C363" s="5"/>
    </row>
    <row r="364">
      <c r="B364" s="5"/>
      <c r="C364" s="5"/>
    </row>
    <row r="365">
      <c r="B365" s="5"/>
      <c r="C365" s="5"/>
    </row>
    <row r="366">
      <c r="B366" s="5"/>
      <c r="C366" s="5"/>
    </row>
    <row r="367">
      <c r="B367" s="5"/>
      <c r="C367" s="5"/>
    </row>
    <row r="368">
      <c r="B368" s="5"/>
      <c r="C368" s="5"/>
    </row>
    <row r="369">
      <c r="B369" s="5"/>
      <c r="C369" s="5"/>
    </row>
    <row r="370">
      <c r="B370" s="5"/>
      <c r="C370" s="5"/>
    </row>
    <row r="371">
      <c r="B371" s="5"/>
      <c r="C371" s="5"/>
    </row>
    <row r="372">
      <c r="B372" s="5"/>
      <c r="C372" s="5"/>
    </row>
    <row r="373">
      <c r="B373" s="5"/>
      <c r="C373" s="5"/>
    </row>
    <row r="374">
      <c r="B374" s="5"/>
      <c r="C374" s="5"/>
    </row>
    <row r="375">
      <c r="B375" s="5"/>
      <c r="C375" s="5"/>
    </row>
    <row r="376">
      <c r="B376" s="5"/>
      <c r="C376" s="5"/>
    </row>
    <row r="377">
      <c r="B377" s="5"/>
      <c r="C377" s="5"/>
    </row>
    <row r="378">
      <c r="B378" s="5"/>
      <c r="C378" s="5"/>
    </row>
    <row r="379">
      <c r="B379" s="5"/>
      <c r="C379" s="5"/>
    </row>
    <row r="380">
      <c r="B380" s="5"/>
      <c r="C380" s="5"/>
    </row>
    <row r="381">
      <c r="B381" s="5"/>
      <c r="C381" s="5"/>
    </row>
    <row r="382">
      <c r="B382" s="5"/>
      <c r="C382" s="5"/>
    </row>
    <row r="383">
      <c r="B383" s="5"/>
      <c r="C383" s="5"/>
    </row>
    <row r="384">
      <c r="B384" s="5"/>
      <c r="C384" s="5"/>
    </row>
    <row r="385">
      <c r="B385" s="5"/>
      <c r="C385" s="5"/>
    </row>
    <row r="386">
      <c r="B386" s="5"/>
      <c r="C386" s="5"/>
    </row>
    <row r="387">
      <c r="B387" s="5"/>
      <c r="C387" s="5"/>
    </row>
    <row r="388">
      <c r="B388" s="5"/>
      <c r="C388" s="5"/>
    </row>
    <row r="389">
      <c r="B389" s="5"/>
      <c r="C389" s="5"/>
    </row>
    <row r="390">
      <c r="B390" s="5"/>
      <c r="C390" s="5"/>
    </row>
    <row r="391">
      <c r="B391" s="5"/>
      <c r="C391" s="5"/>
    </row>
    <row r="392">
      <c r="B392" s="5"/>
      <c r="C392" s="5"/>
    </row>
    <row r="393">
      <c r="B393" s="5"/>
      <c r="C393" s="5"/>
    </row>
    <row r="394">
      <c r="B394" s="5"/>
      <c r="C394" s="5"/>
    </row>
    <row r="395">
      <c r="B395" s="5"/>
      <c r="C395" s="5"/>
    </row>
    <row r="396">
      <c r="B396" s="5"/>
      <c r="C396" s="5"/>
    </row>
    <row r="397">
      <c r="B397" s="5"/>
      <c r="C397" s="5"/>
    </row>
    <row r="398">
      <c r="B398" s="5"/>
      <c r="C398" s="5"/>
    </row>
    <row r="399">
      <c r="B399" s="5"/>
      <c r="C399" s="5"/>
    </row>
    <row r="400">
      <c r="B400" s="5"/>
      <c r="C400" s="5"/>
    </row>
    <row r="401">
      <c r="B401" s="5"/>
      <c r="C401" s="5"/>
    </row>
    <row r="402">
      <c r="B402" s="5"/>
      <c r="C402" s="5"/>
    </row>
    <row r="403">
      <c r="B403" s="5"/>
      <c r="C403" s="5"/>
    </row>
    <row r="404">
      <c r="B404" s="5"/>
      <c r="C404" s="5"/>
    </row>
    <row r="405">
      <c r="B405" s="5"/>
      <c r="C405" s="5"/>
    </row>
    <row r="406">
      <c r="B406" s="5"/>
      <c r="C406" s="5"/>
    </row>
    <row r="407">
      <c r="B407" s="5"/>
      <c r="C407" s="5"/>
    </row>
    <row r="408">
      <c r="B408" s="5"/>
      <c r="C408" s="5"/>
    </row>
    <row r="409">
      <c r="B409" s="5"/>
      <c r="C409" s="5"/>
    </row>
    <row r="410">
      <c r="B410" s="5"/>
      <c r="C410" s="5"/>
    </row>
    <row r="411">
      <c r="B411" s="5"/>
      <c r="C411" s="5"/>
    </row>
    <row r="412">
      <c r="B412" s="5"/>
      <c r="C412" s="5"/>
    </row>
    <row r="413">
      <c r="B413" s="5"/>
      <c r="C413" s="5"/>
    </row>
    <row r="414">
      <c r="B414" s="5"/>
      <c r="C414" s="5"/>
    </row>
    <row r="415">
      <c r="B415" s="5"/>
      <c r="C415" s="5"/>
    </row>
    <row r="416">
      <c r="B416" s="5"/>
      <c r="C416" s="5"/>
    </row>
    <row r="417">
      <c r="B417" s="5"/>
      <c r="C417" s="5"/>
    </row>
    <row r="418">
      <c r="B418" s="5"/>
      <c r="C418" s="5"/>
    </row>
    <row r="419">
      <c r="B419" s="5"/>
      <c r="C419" s="5"/>
    </row>
    <row r="420">
      <c r="B420" s="5"/>
      <c r="C420" s="5"/>
    </row>
    <row r="421">
      <c r="B421" s="5"/>
      <c r="C421" s="5"/>
    </row>
    <row r="422">
      <c r="B422" s="5"/>
      <c r="C422" s="5"/>
    </row>
    <row r="423">
      <c r="B423" s="5"/>
      <c r="C423" s="5"/>
    </row>
    <row r="424">
      <c r="B424" s="5"/>
      <c r="C424" s="5"/>
    </row>
    <row r="425">
      <c r="B425" s="5"/>
      <c r="C425" s="5"/>
    </row>
    <row r="426">
      <c r="B426" s="5"/>
      <c r="C426" s="5"/>
    </row>
    <row r="427">
      <c r="B427" s="5"/>
      <c r="C427" s="5"/>
    </row>
    <row r="428">
      <c r="B428" s="5"/>
      <c r="C428" s="5"/>
    </row>
    <row r="429">
      <c r="B429" s="5"/>
      <c r="C429" s="5"/>
    </row>
    <row r="430">
      <c r="B430" s="5"/>
      <c r="C430" s="5"/>
    </row>
    <row r="431">
      <c r="B431" s="5"/>
      <c r="C431" s="5"/>
    </row>
    <row r="432">
      <c r="B432" s="5"/>
      <c r="C432" s="5"/>
    </row>
    <row r="433">
      <c r="B433" s="5"/>
      <c r="C433" s="5"/>
    </row>
    <row r="434">
      <c r="B434" s="5"/>
      <c r="C434" s="5"/>
    </row>
    <row r="435">
      <c r="B435" s="5"/>
      <c r="C435" s="5"/>
    </row>
    <row r="436">
      <c r="B436" s="5"/>
      <c r="C436" s="5"/>
    </row>
    <row r="437">
      <c r="B437" s="5"/>
      <c r="C437" s="5"/>
    </row>
    <row r="438">
      <c r="B438" s="5"/>
      <c r="C438" s="5"/>
    </row>
    <row r="439">
      <c r="B439" s="5"/>
      <c r="C439" s="5"/>
    </row>
    <row r="440">
      <c r="B440" s="5"/>
      <c r="C440" s="5"/>
    </row>
    <row r="441">
      <c r="B441" s="5"/>
      <c r="C441" s="5"/>
    </row>
    <row r="442">
      <c r="B442" s="5"/>
      <c r="C442" s="5"/>
    </row>
    <row r="443">
      <c r="B443" s="5"/>
      <c r="C443" s="5"/>
    </row>
    <row r="444">
      <c r="B444" s="5"/>
      <c r="C444" s="5"/>
    </row>
    <row r="445">
      <c r="B445" s="5"/>
      <c r="C445" s="5"/>
    </row>
    <row r="446">
      <c r="B446" s="5"/>
      <c r="C446" s="5"/>
    </row>
    <row r="447">
      <c r="B447" s="5"/>
      <c r="C447" s="5"/>
    </row>
    <row r="448">
      <c r="B448" s="5"/>
      <c r="C448" s="5"/>
    </row>
    <row r="449">
      <c r="B449" s="5"/>
      <c r="C449" s="5"/>
    </row>
    <row r="450">
      <c r="B450" s="5"/>
      <c r="C450" s="5"/>
    </row>
    <row r="451">
      <c r="B451" s="5"/>
      <c r="C451" s="5"/>
    </row>
    <row r="452">
      <c r="B452" s="5"/>
      <c r="C452" s="5"/>
    </row>
    <row r="453">
      <c r="B453" s="5"/>
      <c r="C453" s="5"/>
    </row>
    <row r="454">
      <c r="B454" s="5"/>
      <c r="C454" s="5"/>
    </row>
    <row r="455">
      <c r="B455" s="5"/>
      <c r="C455" s="5"/>
    </row>
    <row r="456">
      <c r="B456" s="5"/>
      <c r="C456" s="5"/>
    </row>
    <row r="457">
      <c r="B457" s="5"/>
      <c r="C457" s="5"/>
    </row>
    <row r="458">
      <c r="B458" s="5"/>
      <c r="C458" s="5"/>
    </row>
    <row r="459">
      <c r="B459" s="5"/>
      <c r="C459" s="5"/>
    </row>
    <row r="460">
      <c r="B460" s="5"/>
      <c r="C460" s="5"/>
    </row>
    <row r="461">
      <c r="B461" s="5"/>
      <c r="C461" s="5"/>
    </row>
    <row r="462">
      <c r="B462" s="5"/>
      <c r="C462" s="5"/>
    </row>
    <row r="463">
      <c r="B463" s="5"/>
      <c r="C463" s="5"/>
    </row>
    <row r="464">
      <c r="B464" s="5"/>
      <c r="C464" s="5"/>
    </row>
    <row r="465">
      <c r="B465" s="5"/>
      <c r="C465" s="5"/>
    </row>
    <row r="466">
      <c r="B466" s="5"/>
      <c r="C466" s="5"/>
    </row>
    <row r="467">
      <c r="B467" s="5"/>
      <c r="C467" s="5"/>
    </row>
    <row r="468">
      <c r="B468" s="5"/>
      <c r="C468" s="5"/>
    </row>
    <row r="469">
      <c r="B469" s="5"/>
      <c r="C469" s="5"/>
    </row>
    <row r="470">
      <c r="B470" s="5"/>
      <c r="C470" s="5"/>
    </row>
    <row r="471">
      <c r="B471" s="5"/>
      <c r="C471" s="5"/>
    </row>
    <row r="472">
      <c r="B472" s="5"/>
      <c r="C472" s="5"/>
    </row>
    <row r="473">
      <c r="B473" s="5"/>
      <c r="C473" s="5"/>
    </row>
    <row r="474">
      <c r="B474" s="5"/>
      <c r="C474" s="5"/>
    </row>
    <row r="475">
      <c r="B475" s="5"/>
      <c r="C475" s="5"/>
    </row>
    <row r="476">
      <c r="B476" s="5"/>
      <c r="C476" s="5"/>
    </row>
    <row r="477">
      <c r="B477" s="5"/>
      <c r="C477" s="5"/>
    </row>
    <row r="478">
      <c r="B478" s="5"/>
      <c r="C478" s="5"/>
    </row>
    <row r="479">
      <c r="B479" s="5"/>
      <c r="C479" s="5"/>
    </row>
    <row r="480">
      <c r="B480" s="5"/>
      <c r="C480" s="5"/>
    </row>
    <row r="481">
      <c r="B481" s="5"/>
      <c r="C481" s="5"/>
    </row>
    <row r="482">
      <c r="B482" s="5"/>
      <c r="C482" s="5"/>
    </row>
    <row r="483">
      <c r="B483" s="5"/>
      <c r="C483" s="5"/>
    </row>
    <row r="484">
      <c r="B484" s="5"/>
      <c r="C484" s="5"/>
    </row>
    <row r="485">
      <c r="B485" s="5"/>
      <c r="C485" s="5"/>
    </row>
    <row r="486">
      <c r="B486" s="5"/>
      <c r="C486" s="5"/>
    </row>
    <row r="487">
      <c r="B487" s="5"/>
      <c r="C487" s="5"/>
    </row>
    <row r="488">
      <c r="B488" s="5"/>
      <c r="C488" s="5"/>
    </row>
    <row r="489">
      <c r="B489" s="5"/>
      <c r="C489" s="5"/>
    </row>
    <row r="490">
      <c r="B490" s="5"/>
      <c r="C490" s="5"/>
    </row>
    <row r="491">
      <c r="B491" s="5"/>
      <c r="C491" s="5"/>
    </row>
    <row r="492">
      <c r="B492" s="5"/>
      <c r="C492" s="5"/>
    </row>
    <row r="493">
      <c r="B493" s="5"/>
      <c r="C493" s="5"/>
    </row>
    <row r="494">
      <c r="B494" s="5"/>
      <c r="C494" s="5"/>
    </row>
    <row r="495">
      <c r="B495" s="5"/>
      <c r="C495" s="5"/>
    </row>
    <row r="496">
      <c r="B496" s="5"/>
      <c r="C496" s="5"/>
    </row>
    <row r="497">
      <c r="B497" s="5"/>
      <c r="C497" s="5"/>
    </row>
    <row r="498">
      <c r="B498" s="5"/>
      <c r="C498" s="5"/>
    </row>
    <row r="499">
      <c r="B499" s="5"/>
      <c r="C499" s="5"/>
    </row>
    <row r="500">
      <c r="B500" s="5"/>
      <c r="C500" s="5"/>
    </row>
    <row r="501">
      <c r="B501" s="5"/>
      <c r="C501" s="5"/>
    </row>
    <row r="502">
      <c r="B502" s="5"/>
      <c r="C502" s="5"/>
    </row>
    <row r="503">
      <c r="B503" s="5"/>
      <c r="C503" s="5"/>
    </row>
    <row r="504">
      <c r="B504" s="5"/>
      <c r="C504" s="5"/>
    </row>
    <row r="505">
      <c r="B505" s="5"/>
      <c r="C505" s="5"/>
    </row>
    <row r="506">
      <c r="B506" s="5"/>
      <c r="C506" s="5"/>
    </row>
    <row r="507">
      <c r="B507" s="5"/>
      <c r="C507" s="5"/>
    </row>
    <row r="508">
      <c r="B508" s="5"/>
      <c r="C508" s="5"/>
    </row>
    <row r="509">
      <c r="B509" s="5"/>
      <c r="C509" s="5"/>
    </row>
    <row r="510">
      <c r="B510" s="5"/>
      <c r="C510" s="5"/>
    </row>
    <row r="511">
      <c r="B511" s="5"/>
      <c r="C511" s="5"/>
    </row>
    <row r="512">
      <c r="B512" s="5"/>
      <c r="C512" s="5"/>
    </row>
    <row r="513">
      <c r="B513" s="5"/>
      <c r="C513" s="5"/>
    </row>
    <row r="514">
      <c r="B514" s="5"/>
      <c r="C514" s="5"/>
    </row>
    <row r="515">
      <c r="B515" s="5"/>
      <c r="C515" s="5"/>
    </row>
    <row r="516">
      <c r="B516" s="5"/>
      <c r="C516" s="5"/>
    </row>
    <row r="517">
      <c r="B517" s="5"/>
      <c r="C517" s="5"/>
    </row>
    <row r="518">
      <c r="B518" s="5"/>
      <c r="C518" s="5"/>
    </row>
    <row r="519">
      <c r="B519" s="5"/>
      <c r="C519" s="5"/>
    </row>
    <row r="520">
      <c r="B520" s="5"/>
      <c r="C520" s="5"/>
    </row>
    <row r="521">
      <c r="B521" s="5"/>
      <c r="C521" s="5"/>
    </row>
    <row r="522">
      <c r="B522" s="5"/>
      <c r="C522" s="5"/>
    </row>
    <row r="523">
      <c r="B523" s="5"/>
      <c r="C523" s="5"/>
    </row>
    <row r="524">
      <c r="B524" s="5"/>
      <c r="C524" s="5"/>
    </row>
    <row r="525">
      <c r="B525" s="5"/>
      <c r="C525" s="5"/>
    </row>
    <row r="526">
      <c r="B526" s="5"/>
      <c r="C526" s="5"/>
    </row>
    <row r="527">
      <c r="B527" s="5"/>
      <c r="C527" s="5"/>
    </row>
    <row r="528">
      <c r="B528" s="5"/>
      <c r="C528" s="5"/>
    </row>
    <row r="529">
      <c r="B529" s="5"/>
      <c r="C529" s="5"/>
    </row>
    <row r="530">
      <c r="B530" s="5"/>
      <c r="C530" s="5"/>
    </row>
    <row r="531">
      <c r="B531" s="5"/>
      <c r="C531" s="5"/>
    </row>
    <row r="532">
      <c r="B532" s="5"/>
      <c r="C532" s="5"/>
    </row>
    <row r="533">
      <c r="B533" s="5"/>
      <c r="C533" s="5"/>
    </row>
    <row r="534">
      <c r="B534" s="5"/>
      <c r="C534" s="5"/>
    </row>
    <row r="535">
      <c r="B535" s="5"/>
      <c r="C535" s="5"/>
    </row>
    <row r="536">
      <c r="B536" s="5"/>
      <c r="C536" s="5"/>
    </row>
    <row r="537">
      <c r="B537" s="5"/>
      <c r="C537" s="5"/>
    </row>
    <row r="538">
      <c r="B538" s="5"/>
      <c r="C538" s="5"/>
    </row>
    <row r="539">
      <c r="B539" s="5"/>
      <c r="C539" s="5"/>
    </row>
    <row r="540">
      <c r="B540" s="5"/>
      <c r="C540" s="5"/>
    </row>
    <row r="541">
      <c r="B541" s="5"/>
      <c r="C541" s="5"/>
    </row>
    <row r="542">
      <c r="B542" s="5"/>
      <c r="C542" s="5"/>
    </row>
    <row r="543">
      <c r="B543" s="5"/>
      <c r="C543" s="5"/>
    </row>
    <row r="544">
      <c r="B544" s="5"/>
      <c r="C544" s="5"/>
    </row>
    <row r="545">
      <c r="B545" s="5"/>
      <c r="C545" s="5"/>
    </row>
    <row r="546">
      <c r="B546" s="5"/>
      <c r="C546" s="5"/>
    </row>
    <row r="547">
      <c r="B547" s="5"/>
      <c r="C547" s="5"/>
    </row>
    <row r="548">
      <c r="B548" s="5"/>
      <c r="C548" s="5"/>
    </row>
    <row r="549">
      <c r="B549" s="5"/>
      <c r="C549" s="5"/>
    </row>
    <row r="550">
      <c r="B550" s="5"/>
      <c r="C550" s="5"/>
    </row>
    <row r="551">
      <c r="B551" s="5"/>
      <c r="C551" s="5"/>
    </row>
    <row r="552">
      <c r="B552" s="5"/>
      <c r="C552" s="5"/>
    </row>
    <row r="553">
      <c r="B553" s="5"/>
      <c r="C553" s="5"/>
    </row>
    <row r="554">
      <c r="B554" s="5"/>
      <c r="C554" s="5"/>
    </row>
    <row r="555">
      <c r="B555" s="5"/>
      <c r="C555" s="5"/>
    </row>
    <row r="556">
      <c r="B556" s="5"/>
      <c r="C556" s="5"/>
    </row>
    <row r="557">
      <c r="B557" s="5"/>
      <c r="C557" s="5"/>
    </row>
    <row r="558">
      <c r="B558" s="5"/>
      <c r="C558" s="5"/>
    </row>
    <row r="559">
      <c r="B559" s="5"/>
      <c r="C559" s="5"/>
    </row>
    <row r="560">
      <c r="B560" s="5"/>
      <c r="C560" s="5"/>
    </row>
    <row r="561">
      <c r="B561" s="5"/>
      <c r="C561" s="5"/>
    </row>
    <row r="562">
      <c r="B562" s="5"/>
      <c r="C562" s="5"/>
    </row>
    <row r="563">
      <c r="B563" s="5"/>
      <c r="C563" s="5"/>
    </row>
    <row r="564">
      <c r="B564" s="5"/>
      <c r="C564" s="5"/>
    </row>
    <row r="565">
      <c r="B565" s="5"/>
      <c r="C565" s="5"/>
    </row>
    <row r="566">
      <c r="B566" s="5"/>
      <c r="C566" s="5"/>
    </row>
    <row r="567">
      <c r="B567" s="5"/>
      <c r="C567" s="5"/>
    </row>
    <row r="568">
      <c r="B568" s="5"/>
      <c r="C568" s="5"/>
    </row>
    <row r="569">
      <c r="B569" s="5"/>
      <c r="C569" s="5"/>
    </row>
    <row r="570">
      <c r="B570" s="5"/>
      <c r="C570" s="5"/>
    </row>
    <row r="571">
      <c r="B571" s="5"/>
      <c r="C571" s="5"/>
    </row>
    <row r="572">
      <c r="B572" s="5"/>
      <c r="C572" s="5"/>
    </row>
    <row r="573">
      <c r="B573" s="5"/>
      <c r="C573" s="5"/>
    </row>
    <row r="574">
      <c r="B574" s="5"/>
      <c r="C574" s="5"/>
    </row>
    <row r="575">
      <c r="B575" s="5"/>
      <c r="C575" s="5"/>
    </row>
    <row r="576">
      <c r="B576" s="5"/>
      <c r="C576" s="5"/>
    </row>
    <row r="577">
      <c r="B577" s="5"/>
      <c r="C577" s="5"/>
    </row>
    <row r="578">
      <c r="B578" s="5"/>
      <c r="C578" s="5"/>
    </row>
    <row r="579">
      <c r="B579" s="5"/>
      <c r="C579" s="5"/>
    </row>
    <row r="580">
      <c r="B580" s="5"/>
      <c r="C580" s="5"/>
    </row>
    <row r="581">
      <c r="B581" s="5"/>
      <c r="C581" s="5"/>
    </row>
    <row r="582">
      <c r="B582" s="5"/>
      <c r="C582" s="5"/>
    </row>
    <row r="583">
      <c r="B583" s="5"/>
      <c r="C583" s="5"/>
    </row>
    <row r="584">
      <c r="B584" s="5"/>
      <c r="C584" s="5"/>
    </row>
    <row r="585">
      <c r="B585" s="5"/>
      <c r="C585" s="5"/>
    </row>
    <row r="586">
      <c r="B586" s="5"/>
      <c r="C586" s="5"/>
    </row>
    <row r="587">
      <c r="B587" s="5"/>
      <c r="C587" s="5"/>
    </row>
    <row r="588">
      <c r="B588" s="5"/>
      <c r="C588" s="5"/>
    </row>
    <row r="589">
      <c r="B589" s="5"/>
      <c r="C589" s="5"/>
    </row>
    <row r="590">
      <c r="B590" s="5"/>
      <c r="C590" s="5"/>
    </row>
    <row r="591">
      <c r="B591" s="5"/>
      <c r="C591" s="5"/>
    </row>
    <row r="592">
      <c r="B592" s="5"/>
      <c r="C592" s="5"/>
    </row>
    <row r="593">
      <c r="B593" s="5"/>
      <c r="C593" s="5"/>
    </row>
    <row r="594">
      <c r="B594" s="5"/>
      <c r="C594" s="5"/>
    </row>
    <row r="595">
      <c r="B595" s="5"/>
      <c r="C595" s="5"/>
    </row>
    <row r="596">
      <c r="B596" s="5"/>
      <c r="C596" s="5"/>
    </row>
    <row r="597">
      <c r="B597" s="5"/>
      <c r="C597" s="5"/>
    </row>
    <row r="598">
      <c r="B598" s="5"/>
      <c r="C598" s="5"/>
    </row>
    <row r="599">
      <c r="B599" s="5"/>
      <c r="C599" s="5"/>
    </row>
    <row r="600">
      <c r="B600" s="5"/>
      <c r="C600" s="5"/>
    </row>
    <row r="601">
      <c r="B601" s="5"/>
      <c r="C601" s="5"/>
    </row>
    <row r="602">
      <c r="B602" s="5"/>
      <c r="C602" s="5"/>
    </row>
    <row r="603">
      <c r="B603" s="5"/>
      <c r="C603" s="5"/>
    </row>
    <row r="604">
      <c r="B604" s="5"/>
      <c r="C604" s="5"/>
    </row>
    <row r="605">
      <c r="B605" s="5"/>
      <c r="C605" s="5"/>
    </row>
    <row r="606">
      <c r="B606" s="5"/>
      <c r="C606" s="5"/>
    </row>
    <row r="607">
      <c r="B607" s="5"/>
      <c r="C607" s="5"/>
    </row>
    <row r="608">
      <c r="B608" s="5"/>
      <c r="C608" s="5"/>
    </row>
    <row r="609">
      <c r="B609" s="5"/>
      <c r="C609" s="5"/>
    </row>
    <row r="610">
      <c r="B610" s="5"/>
      <c r="C610" s="5"/>
    </row>
    <row r="611">
      <c r="B611" s="5"/>
      <c r="C611" s="5"/>
    </row>
    <row r="612">
      <c r="B612" s="5"/>
      <c r="C612" s="5"/>
    </row>
    <row r="613">
      <c r="B613" s="5"/>
      <c r="C613" s="5"/>
    </row>
    <row r="614">
      <c r="B614" s="5"/>
      <c r="C614" s="5"/>
    </row>
    <row r="615">
      <c r="B615" s="5"/>
      <c r="C615" s="5"/>
    </row>
    <row r="616">
      <c r="B616" s="5"/>
      <c r="C616" s="5"/>
    </row>
    <row r="617">
      <c r="B617" s="5"/>
      <c r="C617" s="5"/>
    </row>
    <row r="618">
      <c r="B618" s="5"/>
      <c r="C618" s="5"/>
    </row>
    <row r="619">
      <c r="B619" s="5"/>
      <c r="C619" s="5"/>
    </row>
    <row r="620">
      <c r="B620" s="5"/>
      <c r="C620" s="5"/>
    </row>
    <row r="621">
      <c r="B621" s="5"/>
      <c r="C621" s="5"/>
    </row>
    <row r="622">
      <c r="B622" s="5"/>
      <c r="C622" s="5"/>
    </row>
    <row r="623">
      <c r="B623" s="5"/>
      <c r="C623" s="5"/>
    </row>
    <row r="624">
      <c r="B624" s="5"/>
      <c r="C624" s="5"/>
    </row>
    <row r="625">
      <c r="B625" s="5"/>
      <c r="C625" s="5"/>
    </row>
    <row r="626">
      <c r="B626" s="5"/>
      <c r="C626" s="5"/>
    </row>
    <row r="627">
      <c r="B627" s="5"/>
      <c r="C627" s="5"/>
    </row>
    <row r="628">
      <c r="B628" s="5"/>
      <c r="C628" s="5"/>
    </row>
    <row r="629">
      <c r="B629" s="5"/>
      <c r="C629" s="5"/>
    </row>
    <row r="630">
      <c r="B630" s="5"/>
      <c r="C630" s="5"/>
    </row>
    <row r="631">
      <c r="B631" s="5"/>
      <c r="C631" s="5"/>
    </row>
    <row r="632">
      <c r="B632" s="5"/>
      <c r="C632" s="5"/>
    </row>
    <row r="633">
      <c r="B633" s="5"/>
      <c r="C633" s="5"/>
    </row>
    <row r="634">
      <c r="B634" s="5"/>
      <c r="C634" s="5"/>
    </row>
    <row r="635">
      <c r="B635" s="5"/>
      <c r="C635" s="5"/>
    </row>
    <row r="636">
      <c r="B636" s="5"/>
      <c r="C636" s="5"/>
    </row>
    <row r="637">
      <c r="B637" s="5"/>
      <c r="C637" s="5"/>
    </row>
    <row r="638">
      <c r="B638" s="5"/>
      <c r="C638" s="5"/>
    </row>
    <row r="639">
      <c r="B639" s="5"/>
      <c r="C639" s="5"/>
    </row>
    <row r="640">
      <c r="B640" s="5"/>
      <c r="C640" s="5"/>
    </row>
    <row r="641">
      <c r="B641" s="5"/>
      <c r="C641" s="5"/>
    </row>
    <row r="642">
      <c r="B642" s="5"/>
      <c r="C642" s="5"/>
    </row>
    <row r="643">
      <c r="B643" s="5"/>
      <c r="C643" s="5"/>
    </row>
    <row r="644">
      <c r="B644" s="5"/>
      <c r="C644" s="5"/>
    </row>
    <row r="645">
      <c r="B645" s="5"/>
      <c r="C645" s="5"/>
    </row>
    <row r="646">
      <c r="B646" s="5"/>
      <c r="C646" s="5"/>
    </row>
    <row r="647">
      <c r="B647" s="5"/>
      <c r="C647" s="5"/>
    </row>
    <row r="648">
      <c r="B648" s="5"/>
      <c r="C648" s="5"/>
    </row>
    <row r="649">
      <c r="B649" s="5"/>
      <c r="C649" s="5"/>
    </row>
    <row r="650">
      <c r="B650" s="5"/>
      <c r="C650" s="5"/>
    </row>
    <row r="651">
      <c r="B651" s="5"/>
      <c r="C651" s="5"/>
    </row>
    <row r="652">
      <c r="B652" s="5"/>
      <c r="C652" s="5"/>
    </row>
    <row r="653">
      <c r="B653" s="5"/>
      <c r="C653" s="5"/>
    </row>
    <row r="654">
      <c r="B654" s="5"/>
      <c r="C654" s="5"/>
    </row>
    <row r="655">
      <c r="B655" s="5"/>
      <c r="C655" s="5"/>
    </row>
    <row r="656">
      <c r="B656" s="5"/>
      <c r="C656" s="5"/>
    </row>
    <row r="657">
      <c r="B657" s="5"/>
      <c r="C657" s="5"/>
    </row>
    <row r="658">
      <c r="B658" s="5"/>
      <c r="C658" s="5"/>
    </row>
    <row r="659">
      <c r="B659" s="5"/>
      <c r="C659" s="5"/>
    </row>
    <row r="660">
      <c r="B660" s="5"/>
      <c r="C660" s="5"/>
    </row>
    <row r="661">
      <c r="B661" s="5"/>
      <c r="C661" s="5"/>
    </row>
    <row r="662">
      <c r="B662" s="5"/>
      <c r="C662" s="5"/>
    </row>
    <row r="663">
      <c r="B663" s="5"/>
      <c r="C663" s="5"/>
    </row>
    <row r="664">
      <c r="B664" s="5"/>
      <c r="C664" s="5"/>
    </row>
    <row r="665">
      <c r="B665" s="5"/>
      <c r="C665" s="5"/>
    </row>
    <row r="666">
      <c r="B666" s="5"/>
      <c r="C666" s="5"/>
    </row>
    <row r="667">
      <c r="B667" s="5"/>
      <c r="C667" s="5"/>
    </row>
    <row r="668">
      <c r="B668" s="5"/>
      <c r="C668" s="5"/>
    </row>
    <row r="669">
      <c r="B669" s="5"/>
      <c r="C669" s="5"/>
    </row>
    <row r="670">
      <c r="B670" s="5"/>
      <c r="C670" s="5"/>
    </row>
    <row r="671">
      <c r="B671" s="5"/>
      <c r="C671" s="5"/>
    </row>
    <row r="672">
      <c r="B672" s="5"/>
      <c r="C672" s="5"/>
    </row>
    <row r="673">
      <c r="B673" s="5"/>
      <c r="C673" s="5"/>
    </row>
    <row r="674">
      <c r="B674" s="5"/>
      <c r="C674" s="5"/>
    </row>
    <row r="675">
      <c r="B675" s="5"/>
      <c r="C675" s="5"/>
    </row>
    <row r="676">
      <c r="B676" s="5"/>
      <c r="C676" s="5"/>
    </row>
    <row r="677">
      <c r="B677" s="5"/>
      <c r="C677" s="5"/>
    </row>
    <row r="678">
      <c r="B678" s="5"/>
      <c r="C678" s="5"/>
    </row>
    <row r="679">
      <c r="B679" s="5"/>
      <c r="C679" s="5"/>
    </row>
    <row r="680">
      <c r="B680" s="5"/>
      <c r="C680" s="5"/>
    </row>
    <row r="681">
      <c r="B681" s="5"/>
      <c r="C681" s="5"/>
    </row>
    <row r="682">
      <c r="B682" s="5"/>
      <c r="C682" s="5"/>
    </row>
    <row r="683">
      <c r="B683" s="5"/>
      <c r="C683" s="5"/>
    </row>
    <row r="684">
      <c r="B684" s="5"/>
      <c r="C684" s="5"/>
    </row>
    <row r="685">
      <c r="B685" s="5"/>
      <c r="C685" s="5"/>
    </row>
    <row r="686">
      <c r="B686" s="5"/>
      <c r="C686" s="5"/>
    </row>
    <row r="687">
      <c r="B687" s="5"/>
      <c r="C687" s="5"/>
    </row>
    <row r="688">
      <c r="B688" s="5"/>
      <c r="C688" s="5"/>
    </row>
    <row r="689">
      <c r="B689" s="5"/>
      <c r="C689" s="5"/>
    </row>
    <row r="690">
      <c r="B690" s="5"/>
      <c r="C690" s="5"/>
    </row>
    <row r="691">
      <c r="B691" s="5"/>
      <c r="C691" s="5"/>
    </row>
    <row r="692">
      <c r="B692" s="5"/>
      <c r="C692" s="5"/>
    </row>
    <row r="693">
      <c r="B693" s="5"/>
      <c r="C693" s="5"/>
    </row>
    <row r="694">
      <c r="B694" s="5"/>
      <c r="C694" s="5"/>
    </row>
    <row r="695">
      <c r="B695" s="5"/>
      <c r="C695" s="5"/>
    </row>
    <row r="696">
      <c r="B696" s="5"/>
      <c r="C696" s="5"/>
    </row>
    <row r="697">
      <c r="B697" s="5"/>
      <c r="C697" s="5"/>
    </row>
    <row r="698">
      <c r="B698" s="5"/>
      <c r="C698" s="5"/>
    </row>
    <row r="699">
      <c r="B699" s="5"/>
      <c r="C699" s="5"/>
    </row>
    <row r="700">
      <c r="B700" s="5"/>
      <c r="C700" s="5"/>
    </row>
    <row r="701">
      <c r="B701" s="5"/>
      <c r="C701" s="5"/>
    </row>
    <row r="702">
      <c r="B702" s="5"/>
      <c r="C702" s="5"/>
    </row>
    <row r="703">
      <c r="B703" s="5"/>
      <c r="C703" s="5"/>
    </row>
    <row r="704">
      <c r="B704" s="5"/>
      <c r="C704" s="5"/>
    </row>
    <row r="705">
      <c r="B705" s="5"/>
      <c r="C705" s="5"/>
    </row>
    <row r="706">
      <c r="B706" s="5"/>
      <c r="C706" s="5"/>
    </row>
    <row r="707">
      <c r="B707" s="5"/>
      <c r="C707" s="5"/>
    </row>
    <row r="708">
      <c r="B708" s="5"/>
      <c r="C708" s="5"/>
    </row>
    <row r="709">
      <c r="B709" s="5"/>
      <c r="C709" s="5"/>
    </row>
    <row r="710">
      <c r="B710" s="5"/>
      <c r="C710" s="5"/>
    </row>
    <row r="711">
      <c r="B711" s="5"/>
      <c r="C711" s="5"/>
    </row>
    <row r="712">
      <c r="B712" s="5"/>
      <c r="C712" s="5"/>
    </row>
    <row r="713">
      <c r="B713" s="5"/>
      <c r="C713" s="5"/>
    </row>
    <row r="714">
      <c r="B714" s="5"/>
      <c r="C714" s="5"/>
    </row>
    <row r="715">
      <c r="B715" s="5"/>
      <c r="C715" s="5"/>
    </row>
    <row r="716">
      <c r="B716" s="5"/>
      <c r="C716" s="5"/>
    </row>
    <row r="717">
      <c r="B717" s="5"/>
      <c r="C717" s="5"/>
    </row>
    <row r="718">
      <c r="B718" s="5"/>
      <c r="C718" s="5"/>
    </row>
    <row r="719">
      <c r="B719" s="5"/>
      <c r="C719" s="5"/>
    </row>
    <row r="720">
      <c r="B720" s="5"/>
      <c r="C720" s="5"/>
    </row>
    <row r="721">
      <c r="B721" s="5"/>
      <c r="C721" s="5"/>
    </row>
    <row r="722">
      <c r="B722" s="5"/>
      <c r="C722" s="5"/>
    </row>
    <row r="723">
      <c r="B723" s="5"/>
      <c r="C723" s="5"/>
    </row>
    <row r="724">
      <c r="B724" s="5"/>
      <c r="C724" s="5"/>
    </row>
    <row r="725">
      <c r="B725" s="5"/>
      <c r="C725" s="5"/>
    </row>
    <row r="726">
      <c r="B726" s="5"/>
      <c r="C726" s="5"/>
    </row>
    <row r="727">
      <c r="B727" s="5"/>
      <c r="C727" s="5"/>
    </row>
    <row r="728">
      <c r="B728" s="5"/>
      <c r="C728" s="5"/>
    </row>
    <row r="729">
      <c r="B729" s="5"/>
      <c r="C729" s="5"/>
    </row>
    <row r="730">
      <c r="B730" s="5"/>
      <c r="C730" s="5"/>
    </row>
    <row r="731">
      <c r="B731" s="5"/>
      <c r="C731" s="5"/>
    </row>
    <row r="732">
      <c r="B732" s="5"/>
      <c r="C732" s="5"/>
    </row>
    <row r="733">
      <c r="B733" s="5"/>
      <c r="C733" s="5"/>
    </row>
    <row r="734">
      <c r="B734" s="5"/>
      <c r="C734" s="5"/>
    </row>
    <row r="735">
      <c r="B735" s="5"/>
      <c r="C735" s="5"/>
    </row>
    <row r="736">
      <c r="B736" s="5"/>
      <c r="C736" s="5"/>
    </row>
    <row r="737">
      <c r="B737" s="5"/>
      <c r="C737" s="5"/>
    </row>
    <row r="738">
      <c r="B738" s="5"/>
      <c r="C738" s="5"/>
    </row>
    <row r="739">
      <c r="B739" s="5"/>
      <c r="C739" s="5"/>
    </row>
    <row r="740">
      <c r="B740" s="5"/>
      <c r="C740" s="5"/>
    </row>
    <row r="741">
      <c r="B741" s="5"/>
      <c r="C741" s="5"/>
    </row>
    <row r="742">
      <c r="B742" s="5"/>
      <c r="C742" s="5"/>
    </row>
    <row r="743">
      <c r="B743" s="5"/>
      <c r="C743" s="5"/>
    </row>
    <row r="744">
      <c r="B744" s="5"/>
      <c r="C744" s="5"/>
    </row>
    <row r="745">
      <c r="B745" s="5"/>
      <c r="C745" s="5"/>
    </row>
    <row r="746">
      <c r="B746" s="5"/>
      <c r="C746" s="5"/>
    </row>
    <row r="747">
      <c r="B747" s="5"/>
      <c r="C747" s="5"/>
    </row>
    <row r="748">
      <c r="B748" s="5"/>
      <c r="C748" s="5"/>
    </row>
    <row r="749">
      <c r="B749" s="5"/>
      <c r="C749" s="5"/>
    </row>
    <row r="750">
      <c r="B750" s="5"/>
      <c r="C750" s="5"/>
    </row>
    <row r="751">
      <c r="B751" s="5"/>
      <c r="C751" s="5"/>
    </row>
    <row r="752">
      <c r="B752" s="5"/>
      <c r="C752" s="5"/>
    </row>
    <row r="753">
      <c r="B753" s="5"/>
      <c r="C753" s="5"/>
    </row>
    <row r="754">
      <c r="B754" s="5"/>
      <c r="C754" s="5"/>
    </row>
    <row r="755">
      <c r="B755" s="5"/>
      <c r="C755" s="5"/>
    </row>
    <row r="756">
      <c r="B756" s="5"/>
      <c r="C756" s="5"/>
    </row>
    <row r="757">
      <c r="B757" s="5"/>
      <c r="C757" s="5"/>
    </row>
    <row r="758">
      <c r="B758" s="5"/>
      <c r="C758" s="5"/>
    </row>
    <row r="759">
      <c r="B759" s="5"/>
      <c r="C759" s="5"/>
    </row>
    <row r="760">
      <c r="B760" s="5"/>
      <c r="C760" s="5"/>
    </row>
    <row r="761">
      <c r="B761" s="5"/>
      <c r="C761" s="5"/>
    </row>
    <row r="762">
      <c r="B762" s="5"/>
      <c r="C762" s="5"/>
    </row>
    <row r="763">
      <c r="B763" s="5"/>
      <c r="C763" s="5"/>
    </row>
    <row r="764">
      <c r="B764" s="5"/>
      <c r="C764" s="5"/>
    </row>
    <row r="765">
      <c r="B765" s="5"/>
      <c r="C765" s="5"/>
    </row>
    <row r="766">
      <c r="B766" s="5"/>
      <c r="C766" s="5"/>
    </row>
    <row r="767">
      <c r="B767" s="5"/>
      <c r="C767" s="5"/>
    </row>
    <row r="768">
      <c r="B768" s="5"/>
      <c r="C768" s="5"/>
    </row>
    <row r="769">
      <c r="B769" s="5"/>
      <c r="C769" s="5"/>
    </row>
    <row r="770">
      <c r="B770" s="5"/>
      <c r="C770" s="5"/>
    </row>
    <row r="771">
      <c r="B771" s="5"/>
      <c r="C771" s="5"/>
    </row>
    <row r="772">
      <c r="B772" s="5"/>
      <c r="C772" s="5"/>
    </row>
    <row r="773">
      <c r="B773" s="5"/>
      <c r="C773" s="5"/>
    </row>
    <row r="774">
      <c r="B774" s="5"/>
      <c r="C774" s="5"/>
    </row>
    <row r="775">
      <c r="B775" s="5"/>
      <c r="C775" s="5"/>
    </row>
    <row r="776">
      <c r="B776" s="5"/>
      <c r="C776" s="5"/>
    </row>
    <row r="777">
      <c r="B777" s="5"/>
      <c r="C777" s="5"/>
    </row>
    <row r="778">
      <c r="B778" s="5"/>
      <c r="C778" s="5"/>
    </row>
    <row r="779">
      <c r="B779" s="5"/>
      <c r="C779" s="5"/>
    </row>
    <row r="780">
      <c r="B780" s="5"/>
      <c r="C780" s="5"/>
    </row>
    <row r="781">
      <c r="B781" s="5"/>
      <c r="C781" s="5"/>
    </row>
    <row r="782">
      <c r="B782" s="5"/>
      <c r="C782" s="5"/>
    </row>
    <row r="783">
      <c r="B783" s="5"/>
      <c r="C783" s="5"/>
    </row>
    <row r="784">
      <c r="B784" s="5"/>
      <c r="C784" s="5"/>
    </row>
    <row r="785">
      <c r="B785" s="5"/>
      <c r="C785" s="5"/>
    </row>
    <row r="786">
      <c r="B786" s="5"/>
      <c r="C786" s="5"/>
    </row>
    <row r="787">
      <c r="B787" s="5"/>
      <c r="C787" s="5"/>
    </row>
    <row r="788">
      <c r="B788" s="5"/>
      <c r="C788" s="5"/>
    </row>
    <row r="789">
      <c r="B789" s="5"/>
      <c r="C789" s="5"/>
    </row>
    <row r="790">
      <c r="B790" s="5"/>
      <c r="C790" s="5"/>
    </row>
    <row r="791">
      <c r="B791" s="5"/>
      <c r="C791" s="5"/>
    </row>
    <row r="792">
      <c r="B792" s="5"/>
      <c r="C792" s="5"/>
    </row>
    <row r="793">
      <c r="B793" s="5"/>
      <c r="C793" s="5"/>
    </row>
    <row r="794">
      <c r="B794" s="5"/>
      <c r="C794" s="5"/>
    </row>
    <row r="795">
      <c r="B795" s="5"/>
      <c r="C795" s="5"/>
    </row>
    <row r="796">
      <c r="B796" s="5"/>
      <c r="C796" s="5"/>
    </row>
    <row r="797">
      <c r="B797" s="5"/>
      <c r="C797" s="5"/>
    </row>
    <row r="798">
      <c r="B798" s="5"/>
      <c r="C798" s="5"/>
    </row>
    <row r="799">
      <c r="B799" s="5"/>
      <c r="C799" s="5"/>
    </row>
    <row r="800">
      <c r="B800" s="5"/>
      <c r="C800" s="5"/>
    </row>
    <row r="801">
      <c r="B801" s="5"/>
      <c r="C801" s="5"/>
    </row>
    <row r="802">
      <c r="B802" s="5"/>
      <c r="C802" s="5"/>
    </row>
    <row r="803">
      <c r="B803" s="5"/>
      <c r="C803" s="5"/>
    </row>
    <row r="804">
      <c r="B804" s="5"/>
      <c r="C804" s="5"/>
    </row>
    <row r="805">
      <c r="B805" s="5"/>
      <c r="C805" s="5"/>
    </row>
    <row r="806">
      <c r="B806" s="5"/>
      <c r="C806" s="5"/>
    </row>
    <row r="807">
      <c r="B807" s="5"/>
      <c r="C807" s="5"/>
    </row>
    <row r="808">
      <c r="B808" s="5"/>
      <c r="C808" s="5"/>
    </row>
    <row r="809">
      <c r="B809" s="5"/>
      <c r="C809" s="5"/>
    </row>
    <row r="810">
      <c r="B810" s="5"/>
      <c r="C810" s="5"/>
    </row>
    <row r="811">
      <c r="B811" s="5"/>
      <c r="C811" s="5"/>
    </row>
    <row r="812">
      <c r="B812" s="5"/>
      <c r="C812" s="5"/>
    </row>
    <row r="813">
      <c r="B813" s="5"/>
      <c r="C813" s="5"/>
    </row>
    <row r="814">
      <c r="B814" s="5"/>
      <c r="C814" s="5"/>
    </row>
    <row r="815">
      <c r="B815" s="5"/>
      <c r="C815" s="5"/>
    </row>
    <row r="816">
      <c r="B816" s="5"/>
      <c r="C816" s="5"/>
    </row>
    <row r="817">
      <c r="B817" s="5"/>
      <c r="C817" s="5"/>
    </row>
    <row r="818">
      <c r="B818" s="5"/>
      <c r="C818" s="5"/>
    </row>
    <row r="819">
      <c r="B819" s="5"/>
      <c r="C819" s="5"/>
    </row>
    <row r="820">
      <c r="B820" s="5"/>
      <c r="C820" s="5"/>
    </row>
    <row r="821">
      <c r="B821" s="5"/>
      <c r="C821" s="5"/>
    </row>
    <row r="822">
      <c r="B822" s="5"/>
      <c r="C822" s="5"/>
    </row>
    <row r="823">
      <c r="B823" s="5"/>
      <c r="C823" s="5"/>
    </row>
    <row r="824">
      <c r="B824" s="5"/>
      <c r="C824" s="5"/>
    </row>
    <row r="825">
      <c r="B825" s="5"/>
      <c r="C825" s="5"/>
    </row>
    <row r="826">
      <c r="B826" s="5"/>
      <c r="C826" s="5"/>
    </row>
    <row r="827">
      <c r="B827" s="5"/>
      <c r="C827" s="5"/>
    </row>
    <row r="828">
      <c r="B828" s="5"/>
      <c r="C828" s="5"/>
    </row>
    <row r="829">
      <c r="B829" s="5"/>
      <c r="C829" s="5"/>
    </row>
    <row r="830">
      <c r="B830" s="5"/>
      <c r="C830" s="5"/>
    </row>
    <row r="831">
      <c r="B831" s="5"/>
      <c r="C831" s="5"/>
    </row>
    <row r="832">
      <c r="B832" s="5"/>
      <c r="C832" s="5"/>
    </row>
    <row r="833">
      <c r="B833" s="5"/>
      <c r="C833" s="5"/>
    </row>
    <row r="834">
      <c r="B834" s="5"/>
      <c r="C834" s="5"/>
    </row>
    <row r="835">
      <c r="B835" s="5"/>
      <c r="C835" s="5"/>
    </row>
    <row r="836">
      <c r="B836" s="5"/>
      <c r="C836" s="5"/>
    </row>
    <row r="837">
      <c r="B837" s="5"/>
      <c r="C837" s="5"/>
    </row>
    <row r="838">
      <c r="B838" s="5"/>
      <c r="C838" s="5"/>
    </row>
    <row r="839">
      <c r="B839" s="5"/>
      <c r="C839" s="5"/>
    </row>
    <row r="840">
      <c r="B840" s="5"/>
      <c r="C840" s="5"/>
    </row>
    <row r="841">
      <c r="B841" s="5"/>
      <c r="C841" s="5"/>
    </row>
    <row r="842">
      <c r="B842" s="5"/>
      <c r="C842" s="5"/>
    </row>
    <row r="843">
      <c r="B843" s="5"/>
      <c r="C843" s="5"/>
    </row>
    <row r="844">
      <c r="B844" s="5"/>
      <c r="C844" s="5"/>
    </row>
    <row r="845">
      <c r="B845" s="5"/>
      <c r="C845" s="5"/>
    </row>
    <row r="846">
      <c r="B846" s="5"/>
      <c r="C846" s="5"/>
    </row>
    <row r="847">
      <c r="B847" s="5"/>
      <c r="C847" s="5"/>
    </row>
    <row r="848">
      <c r="B848" s="5"/>
      <c r="C848" s="5"/>
    </row>
    <row r="849">
      <c r="B849" s="5"/>
      <c r="C849" s="5"/>
    </row>
    <row r="850">
      <c r="B850" s="5"/>
      <c r="C850" s="5"/>
    </row>
    <row r="851">
      <c r="B851" s="5"/>
      <c r="C851" s="5"/>
    </row>
    <row r="852">
      <c r="B852" s="5"/>
      <c r="C852" s="5"/>
    </row>
    <row r="853">
      <c r="B853" s="5"/>
      <c r="C853" s="5"/>
    </row>
    <row r="854">
      <c r="B854" s="5"/>
      <c r="C854" s="5"/>
    </row>
    <row r="855">
      <c r="B855" s="5"/>
      <c r="C855" s="5"/>
    </row>
    <row r="856">
      <c r="B856" s="5"/>
      <c r="C856" s="5"/>
    </row>
    <row r="857">
      <c r="B857" s="5"/>
      <c r="C857" s="5"/>
    </row>
    <row r="858">
      <c r="B858" s="5"/>
      <c r="C858" s="5"/>
    </row>
    <row r="859">
      <c r="B859" s="5"/>
      <c r="C859" s="5"/>
    </row>
    <row r="860">
      <c r="B860" s="5"/>
      <c r="C860" s="5"/>
    </row>
    <row r="861">
      <c r="B861" s="5"/>
      <c r="C861" s="5"/>
    </row>
    <row r="862">
      <c r="B862" s="5"/>
      <c r="C862" s="5"/>
    </row>
    <row r="863">
      <c r="B863" s="5"/>
      <c r="C863" s="5"/>
    </row>
    <row r="864">
      <c r="B864" s="5"/>
      <c r="C864" s="5"/>
    </row>
    <row r="865">
      <c r="B865" s="5"/>
      <c r="C865" s="5"/>
    </row>
    <row r="866">
      <c r="B866" s="5"/>
      <c r="C866" s="5"/>
    </row>
    <row r="867">
      <c r="B867" s="5"/>
      <c r="C867" s="5"/>
    </row>
    <row r="868">
      <c r="B868" s="5"/>
      <c r="C868" s="5"/>
    </row>
    <row r="869">
      <c r="B869" s="5"/>
      <c r="C869" s="5"/>
    </row>
    <row r="870">
      <c r="B870" s="5"/>
      <c r="C870" s="5"/>
    </row>
    <row r="871">
      <c r="B871" s="5"/>
      <c r="C871" s="5"/>
    </row>
    <row r="872">
      <c r="B872" s="5"/>
      <c r="C872" s="5"/>
    </row>
    <row r="873">
      <c r="B873" s="5"/>
      <c r="C873" s="5"/>
    </row>
    <row r="874">
      <c r="B874" s="5"/>
      <c r="C874" s="5"/>
    </row>
    <row r="875">
      <c r="B875" s="5"/>
      <c r="C875" s="5"/>
    </row>
    <row r="876">
      <c r="B876" s="5"/>
      <c r="C876" s="5"/>
    </row>
    <row r="877">
      <c r="B877" s="5"/>
      <c r="C877" s="5"/>
    </row>
    <row r="878">
      <c r="B878" s="5"/>
      <c r="C878" s="5"/>
    </row>
    <row r="879">
      <c r="B879" s="5"/>
      <c r="C879" s="5"/>
    </row>
    <row r="880">
      <c r="B880" s="5"/>
      <c r="C880" s="5"/>
    </row>
    <row r="881">
      <c r="B881" s="5"/>
      <c r="C881" s="5"/>
    </row>
    <row r="882">
      <c r="B882" s="5"/>
      <c r="C882" s="5"/>
    </row>
    <row r="883">
      <c r="B883" s="5"/>
      <c r="C883" s="5"/>
    </row>
    <row r="884">
      <c r="B884" s="5"/>
      <c r="C884" s="5"/>
    </row>
    <row r="885">
      <c r="B885" s="5"/>
      <c r="C885" s="5"/>
    </row>
    <row r="886">
      <c r="B886" s="5"/>
      <c r="C886" s="5"/>
    </row>
    <row r="887">
      <c r="B887" s="5"/>
      <c r="C887" s="5"/>
    </row>
    <row r="888">
      <c r="B888" s="5"/>
      <c r="C888" s="5"/>
    </row>
    <row r="889">
      <c r="B889" s="5"/>
      <c r="C889" s="5"/>
    </row>
    <row r="890">
      <c r="B890" s="5"/>
      <c r="C890" s="5"/>
    </row>
    <row r="891">
      <c r="B891" s="5"/>
      <c r="C891" s="5"/>
    </row>
    <row r="892">
      <c r="B892" s="5"/>
      <c r="C892" s="5"/>
    </row>
    <row r="893">
      <c r="B893" s="5"/>
      <c r="C893" s="5"/>
    </row>
    <row r="894">
      <c r="B894" s="5"/>
      <c r="C894" s="5"/>
    </row>
    <row r="895">
      <c r="B895" s="5"/>
      <c r="C895" s="5"/>
    </row>
    <row r="896">
      <c r="B896" s="5"/>
      <c r="C896" s="5"/>
    </row>
    <row r="897">
      <c r="B897" s="5"/>
      <c r="C897" s="5"/>
    </row>
    <row r="898">
      <c r="B898" s="5"/>
      <c r="C898" s="5"/>
    </row>
    <row r="899">
      <c r="B899" s="5"/>
      <c r="C899" s="5"/>
    </row>
    <row r="900">
      <c r="B900" s="5"/>
      <c r="C900" s="5"/>
    </row>
    <row r="901">
      <c r="B901" s="5"/>
      <c r="C901" s="5"/>
    </row>
    <row r="902">
      <c r="B902" s="5"/>
      <c r="C902" s="5"/>
    </row>
    <row r="903">
      <c r="B903" s="5"/>
      <c r="C903" s="5"/>
    </row>
    <row r="904">
      <c r="B904" s="5"/>
      <c r="C904" s="5"/>
    </row>
    <row r="905">
      <c r="B905" s="5"/>
      <c r="C905" s="5"/>
    </row>
    <row r="906">
      <c r="B906" s="5"/>
      <c r="C906" s="5"/>
    </row>
    <row r="907">
      <c r="B907" s="5"/>
      <c r="C907" s="5"/>
    </row>
    <row r="908">
      <c r="B908" s="5"/>
      <c r="C908" s="5"/>
    </row>
    <row r="909">
      <c r="B909" s="5"/>
      <c r="C909" s="5"/>
    </row>
    <row r="910">
      <c r="B910" s="5"/>
      <c r="C910" s="5"/>
    </row>
    <row r="911">
      <c r="B911" s="5"/>
      <c r="C911" s="5"/>
    </row>
    <row r="912">
      <c r="B912" s="5"/>
      <c r="C912" s="5"/>
    </row>
    <row r="913">
      <c r="B913" s="5"/>
      <c r="C913" s="5"/>
    </row>
    <row r="914">
      <c r="B914" s="5"/>
      <c r="C914" s="5"/>
    </row>
    <row r="915">
      <c r="B915" s="5"/>
      <c r="C915" s="5"/>
    </row>
    <row r="916">
      <c r="B916" s="5"/>
      <c r="C916" s="5"/>
    </row>
    <row r="917">
      <c r="B917" s="5"/>
      <c r="C917" s="5"/>
    </row>
    <row r="918">
      <c r="B918" s="5"/>
      <c r="C918" s="5"/>
    </row>
    <row r="919">
      <c r="B919" s="5"/>
      <c r="C919" s="5"/>
    </row>
    <row r="920">
      <c r="B920" s="5"/>
      <c r="C920" s="5"/>
    </row>
    <row r="921">
      <c r="B921" s="5"/>
      <c r="C921" s="5"/>
    </row>
    <row r="922">
      <c r="B922" s="5"/>
      <c r="C922" s="5"/>
    </row>
    <row r="923">
      <c r="B923" s="5"/>
      <c r="C923" s="5"/>
    </row>
    <row r="924">
      <c r="B924" s="5"/>
      <c r="C924" s="5"/>
    </row>
    <row r="925">
      <c r="B925" s="5"/>
      <c r="C925" s="5"/>
    </row>
    <row r="926">
      <c r="B926" s="5"/>
      <c r="C926" s="5"/>
    </row>
    <row r="927">
      <c r="B927" s="5"/>
      <c r="C927" s="5"/>
    </row>
    <row r="928">
      <c r="B928" s="5"/>
      <c r="C928" s="5"/>
    </row>
    <row r="929">
      <c r="B929" s="5"/>
      <c r="C929" s="5"/>
    </row>
    <row r="930">
      <c r="B930" s="5"/>
      <c r="C930" s="5"/>
    </row>
    <row r="931">
      <c r="B931" s="5"/>
      <c r="C931" s="5"/>
    </row>
    <row r="932">
      <c r="B932" s="5"/>
      <c r="C932" s="5"/>
    </row>
    <row r="933">
      <c r="B933" s="5"/>
      <c r="C933" s="5"/>
    </row>
    <row r="934">
      <c r="B934" s="5"/>
      <c r="C934" s="5"/>
    </row>
    <row r="935">
      <c r="B935" s="5"/>
      <c r="C935" s="5"/>
    </row>
    <row r="936">
      <c r="B936" s="5"/>
      <c r="C936" s="5"/>
    </row>
    <row r="937">
      <c r="B937" s="5"/>
      <c r="C937" s="5"/>
    </row>
    <row r="938">
      <c r="B938" s="5"/>
      <c r="C938" s="5"/>
    </row>
    <row r="939">
      <c r="B939" s="5"/>
      <c r="C939" s="5"/>
    </row>
    <row r="940">
      <c r="B940" s="5"/>
      <c r="C940" s="5"/>
    </row>
    <row r="941">
      <c r="B941" s="5"/>
      <c r="C941" s="5"/>
    </row>
    <row r="942">
      <c r="B942" s="5"/>
      <c r="C942" s="5"/>
    </row>
    <row r="943">
      <c r="B943" s="5"/>
      <c r="C943" s="5"/>
    </row>
    <row r="944">
      <c r="B944" s="5"/>
      <c r="C944" s="5"/>
    </row>
    <row r="945">
      <c r="B945" s="5"/>
      <c r="C945" s="5"/>
    </row>
    <row r="946">
      <c r="B946" s="5"/>
      <c r="C946" s="5"/>
    </row>
    <row r="947">
      <c r="B947" s="5"/>
      <c r="C947" s="5"/>
    </row>
    <row r="948">
      <c r="B948" s="5"/>
      <c r="C948" s="5"/>
    </row>
    <row r="949">
      <c r="B949" s="5"/>
      <c r="C949" s="5"/>
    </row>
    <row r="950">
      <c r="B950" s="5"/>
      <c r="C950" s="5"/>
    </row>
    <row r="951">
      <c r="B951" s="5"/>
      <c r="C951" s="5"/>
    </row>
    <row r="952">
      <c r="B952" s="5"/>
      <c r="C952" s="5"/>
    </row>
    <row r="953">
      <c r="B953" s="5"/>
      <c r="C953" s="5"/>
    </row>
    <row r="954">
      <c r="B954" s="5"/>
      <c r="C954" s="5"/>
    </row>
    <row r="955">
      <c r="B955" s="5"/>
      <c r="C955" s="5"/>
    </row>
    <row r="956">
      <c r="B956" s="5"/>
      <c r="C956" s="5"/>
    </row>
    <row r="957">
      <c r="B957" s="5"/>
      <c r="C957" s="5"/>
    </row>
    <row r="958">
      <c r="B958" s="5"/>
      <c r="C958" s="5"/>
    </row>
    <row r="959">
      <c r="B959" s="5"/>
      <c r="C959" s="5"/>
    </row>
    <row r="960">
      <c r="B960" s="5"/>
      <c r="C960" s="5"/>
    </row>
    <row r="961">
      <c r="B961" s="5"/>
      <c r="C961" s="5"/>
    </row>
    <row r="962">
      <c r="B962" s="5"/>
      <c r="C962" s="5"/>
    </row>
    <row r="963">
      <c r="B963" s="5"/>
      <c r="C963" s="5"/>
    </row>
    <row r="964">
      <c r="B964" s="5"/>
      <c r="C964" s="5"/>
    </row>
    <row r="965">
      <c r="B965" s="5"/>
      <c r="C965" s="5"/>
    </row>
    <row r="966">
      <c r="B966" s="5"/>
      <c r="C966" s="5"/>
    </row>
    <row r="967">
      <c r="B967" s="5"/>
      <c r="C967" s="5"/>
    </row>
    <row r="968">
      <c r="B968" s="5"/>
      <c r="C968" s="5"/>
    </row>
    <row r="969">
      <c r="B969" s="5"/>
      <c r="C969" s="5"/>
    </row>
    <row r="970">
      <c r="B970" s="5"/>
      <c r="C970" s="5"/>
    </row>
    <row r="971">
      <c r="B971" s="5"/>
      <c r="C971" s="5"/>
    </row>
    <row r="972">
      <c r="B972" s="5"/>
      <c r="C972" s="5"/>
    </row>
    <row r="973">
      <c r="B973" s="5"/>
      <c r="C973" s="5"/>
    </row>
    <row r="974">
      <c r="B974" s="5"/>
      <c r="C974" s="5"/>
    </row>
    <row r="975">
      <c r="B975" s="5"/>
      <c r="C975" s="5"/>
    </row>
    <row r="976">
      <c r="B976" s="5"/>
      <c r="C976" s="5"/>
    </row>
    <row r="977">
      <c r="B977" s="5"/>
      <c r="C977" s="5"/>
    </row>
    <row r="978">
      <c r="B978" s="5"/>
      <c r="C978" s="5"/>
    </row>
    <row r="979">
      <c r="B979" s="5"/>
      <c r="C979" s="5"/>
    </row>
    <row r="980">
      <c r="B980" s="5"/>
      <c r="C980" s="5"/>
    </row>
    <row r="981">
      <c r="B981" s="5"/>
      <c r="C981" s="5"/>
    </row>
    <row r="982">
      <c r="B982" s="5"/>
      <c r="C982" s="5"/>
    </row>
    <row r="983">
      <c r="B983" s="5"/>
      <c r="C983" s="5"/>
    </row>
    <row r="984">
      <c r="B984" s="5"/>
      <c r="C984" s="5"/>
    </row>
    <row r="985">
      <c r="B985" s="5"/>
      <c r="C985" s="5"/>
    </row>
    <row r="986">
      <c r="B986" s="5"/>
      <c r="C986" s="5"/>
    </row>
    <row r="987">
      <c r="B987" s="5"/>
      <c r="C987" s="5"/>
    </row>
    <row r="988">
      <c r="B988" s="5"/>
      <c r="C988" s="5"/>
    </row>
    <row r="989">
      <c r="B989" s="5"/>
      <c r="C989" s="5"/>
    </row>
    <row r="990">
      <c r="B990" s="5"/>
      <c r="C990" s="5"/>
    </row>
    <row r="991">
      <c r="B991" s="5"/>
      <c r="C991" s="5"/>
    </row>
    <row r="992">
      <c r="B992" s="5"/>
      <c r="C992" s="5"/>
    </row>
    <row r="993">
      <c r="B993" s="5"/>
      <c r="C993" s="5"/>
    </row>
    <row r="994">
      <c r="B994" s="5"/>
      <c r="C994" s="5"/>
    </row>
    <row r="995">
      <c r="B995" s="5"/>
      <c r="C995" s="5"/>
    </row>
    <row r="996">
      <c r="B996" s="5"/>
      <c r="C996" s="5"/>
    </row>
    <row r="997">
      <c r="B997" s="5"/>
      <c r="C997" s="5"/>
    </row>
    <row r="998">
      <c r="B998" s="5"/>
      <c r="C998" s="5"/>
    </row>
    <row r="999">
      <c r="B999" s="5"/>
      <c r="C999" s="5"/>
    </row>
    <row r="1000">
      <c r="B1000" s="5"/>
      <c r="C1000" s="5"/>
    </row>
    <row r="1001">
      <c r="B1001" s="5"/>
      <c r="C1001" s="5"/>
    </row>
    <row r="1002">
      <c r="B1002" s="5"/>
      <c r="C1002" s="5"/>
    </row>
    <row r="1003">
      <c r="B1003" s="5"/>
      <c r="C1003" s="5"/>
    </row>
    <row r="1004">
      <c r="B1004" s="5"/>
      <c r="C1004" s="5"/>
    </row>
    <row r="1005">
      <c r="B1005" s="5"/>
      <c r="C1005" s="5"/>
    </row>
    <row r="1006">
      <c r="B1006" s="5"/>
      <c r="C1006" s="5"/>
    </row>
    <row r="1007">
      <c r="B1007" s="5"/>
      <c r="C1007" s="5"/>
    </row>
    <row r="1008">
      <c r="B1008" s="5"/>
      <c r="C1008" s="5"/>
    </row>
    <row r="1009">
      <c r="B1009" s="5"/>
      <c r="C1009" s="5"/>
    </row>
    <row r="1010">
      <c r="B1010" s="5"/>
      <c r="C1010" s="5"/>
    </row>
  </sheetData>
  <conditionalFormatting sqref="D9:D28">
    <cfRule type="cellIs" dxfId="5" priority="1" operator="equal">
      <formula>"Not started"</formula>
    </cfRule>
  </conditionalFormatting>
  <conditionalFormatting sqref="D9:D28">
    <cfRule type="cellIs" dxfId="6" priority="2" operator="equal">
      <formula>"Completed"</formula>
    </cfRule>
  </conditionalFormatting>
  <conditionalFormatting sqref="D9:D28">
    <cfRule type="cellIs" dxfId="7" priority="3" operator="equal">
      <formula>"On-going"</formula>
    </cfRule>
  </conditionalFormatting>
  <dataValidations>
    <dataValidation type="custom" allowBlank="1" showDropDown="1" sqref="B9:B28">
      <formula1>AND(ISNUMBER(B9),(NOT(OR(NOT(ISERROR(DATEVALUE(B9))), AND(ISNUMBER(B9), LEFT(CELL("format", B9))="D")))))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88"/>
    <col customWidth="1" min="3" max="3" width="33.75"/>
    <col customWidth="1" min="4" max="4" width="20.38"/>
    <col customWidth="1" min="5" max="5" width="17.38"/>
    <col customWidth="1" min="6" max="9" width="9.63"/>
  </cols>
  <sheetData>
    <row r="1">
      <c r="A1" s="22"/>
      <c r="B1" s="23" t="str">
        <f>CONCATENATE('0. Checklist'!D1, " ", '0. Checklist'!D2)</f>
        <v>9 IT Software Solutions for Business</v>
      </c>
      <c r="E1" s="22"/>
      <c r="F1" s="24"/>
      <c r="G1" s="24"/>
      <c r="H1" s="24"/>
      <c r="I1" s="24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>
      <c r="A2" s="22"/>
      <c r="B2" s="26" t="s">
        <v>31</v>
      </c>
      <c r="C2" s="27" t="s">
        <v>32</v>
      </c>
      <c r="D2" s="22"/>
      <c r="E2" s="24"/>
      <c r="F2" s="28" t="s">
        <v>33</v>
      </c>
      <c r="G2" s="28" t="s">
        <v>33</v>
      </c>
      <c r="H2" s="28" t="s">
        <v>33</v>
      </c>
      <c r="I2" s="28" t="s">
        <v>33</v>
      </c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>
      <c r="A3" s="22"/>
      <c r="B3" s="22"/>
      <c r="C3" s="22"/>
      <c r="D3" s="22"/>
      <c r="E3" s="22"/>
      <c r="F3" s="24"/>
      <c r="G3" s="24"/>
      <c r="H3" s="24"/>
      <c r="I3" s="24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</row>
    <row r="4">
      <c r="A4" s="22"/>
      <c r="B4" s="22"/>
      <c r="C4" s="22"/>
      <c r="D4" s="22"/>
      <c r="E4" s="22"/>
      <c r="F4" s="24"/>
      <c r="G4" s="24"/>
      <c r="H4" s="24"/>
      <c r="I4" s="24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</row>
    <row r="5" ht="22.5" customHeight="1">
      <c r="A5" s="22"/>
      <c r="B5" s="30" t="s">
        <v>34</v>
      </c>
      <c r="C5" s="30" t="s">
        <v>35</v>
      </c>
      <c r="D5" s="30" t="s">
        <v>36</v>
      </c>
      <c r="E5" s="30" t="s">
        <v>37</v>
      </c>
      <c r="F5" s="31" t="s">
        <v>38</v>
      </c>
      <c r="G5" s="31" t="s">
        <v>39</v>
      </c>
      <c r="H5" s="31" t="s">
        <v>40</v>
      </c>
      <c r="I5" s="31" t="s">
        <v>41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</row>
    <row r="6" ht="22.5" customHeight="1">
      <c r="A6" s="32"/>
      <c r="B6" s="33">
        <v>1.0</v>
      </c>
      <c r="C6" s="34" t="s">
        <v>42</v>
      </c>
      <c r="D6" s="35" t="s">
        <v>43</v>
      </c>
      <c r="E6" s="33" t="s">
        <v>44</v>
      </c>
      <c r="F6" s="36" t="s">
        <v>33</v>
      </c>
      <c r="G6" s="36" t="s">
        <v>33</v>
      </c>
      <c r="H6" s="36" t="s">
        <v>33</v>
      </c>
      <c r="I6" s="36" t="s">
        <v>33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</row>
    <row r="7" ht="22.5" customHeight="1">
      <c r="A7" s="32"/>
      <c r="B7" s="33">
        <v>2.0</v>
      </c>
      <c r="C7" s="37" t="s">
        <v>45</v>
      </c>
      <c r="D7" s="35" t="s">
        <v>46</v>
      </c>
      <c r="E7" s="33" t="s">
        <v>47</v>
      </c>
      <c r="F7" s="36" t="s">
        <v>33</v>
      </c>
      <c r="G7" s="36" t="s">
        <v>33</v>
      </c>
      <c r="H7" s="36" t="s">
        <v>33</v>
      </c>
      <c r="I7" s="36" t="s">
        <v>33</v>
      </c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</row>
    <row r="8" ht="22.5" customHeight="1">
      <c r="A8" s="32"/>
      <c r="B8" s="33">
        <v>3.0</v>
      </c>
      <c r="C8" s="37" t="s">
        <v>48</v>
      </c>
      <c r="D8" s="35" t="s">
        <v>49</v>
      </c>
      <c r="E8" s="33" t="s">
        <v>50</v>
      </c>
      <c r="F8" s="36" t="s">
        <v>33</v>
      </c>
      <c r="G8" s="36" t="s">
        <v>33</v>
      </c>
      <c r="H8" s="36" t="s">
        <v>33</v>
      </c>
      <c r="I8" s="36" t="s">
        <v>33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</row>
    <row r="9" ht="22.5" customHeight="1">
      <c r="A9" s="32"/>
      <c r="B9" s="33">
        <v>4.0</v>
      </c>
      <c r="C9" s="37" t="s">
        <v>51</v>
      </c>
      <c r="D9" s="35" t="s">
        <v>52</v>
      </c>
      <c r="E9" s="33" t="s">
        <v>53</v>
      </c>
      <c r="F9" s="36" t="s">
        <v>33</v>
      </c>
      <c r="G9" s="36" t="s">
        <v>33</v>
      </c>
      <c r="H9" s="36" t="s">
        <v>33</v>
      </c>
      <c r="I9" s="36" t="s">
        <v>33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</row>
    <row r="10" ht="22.5" customHeight="1">
      <c r="A10" s="32"/>
      <c r="B10" s="38">
        <v>5.0</v>
      </c>
      <c r="C10" s="34" t="s">
        <v>54</v>
      </c>
      <c r="D10" s="35" t="s">
        <v>55</v>
      </c>
      <c r="E10" s="33" t="s">
        <v>53</v>
      </c>
      <c r="F10" s="36" t="s">
        <v>33</v>
      </c>
      <c r="G10" s="36" t="s">
        <v>33</v>
      </c>
      <c r="H10" s="36" t="s">
        <v>33</v>
      </c>
      <c r="I10" s="36" t="s">
        <v>33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</row>
    <row r="11" ht="22.5" customHeight="1">
      <c r="A11" s="32"/>
      <c r="B11" s="38">
        <v>6.0</v>
      </c>
      <c r="C11" s="37" t="s">
        <v>56</v>
      </c>
      <c r="D11" s="35" t="s">
        <v>57</v>
      </c>
      <c r="E11" s="33" t="s">
        <v>53</v>
      </c>
      <c r="F11" s="36" t="s">
        <v>33</v>
      </c>
      <c r="G11" s="36" t="s">
        <v>33</v>
      </c>
      <c r="H11" s="36" t="s">
        <v>33</v>
      </c>
      <c r="I11" s="36" t="s">
        <v>33</v>
      </c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 ht="22.5" customHeight="1">
      <c r="A12" s="32"/>
      <c r="B12" s="38">
        <v>7.0</v>
      </c>
      <c r="C12" s="39" t="s">
        <v>58</v>
      </c>
      <c r="D12" s="35" t="s">
        <v>59</v>
      </c>
      <c r="E12" s="33" t="s">
        <v>53</v>
      </c>
      <c r="F12" s="36" t="s">
        <v>33</v>
      </c>
      <c r="G12" s="36" t="s">
        <v>33</v>
      </c>
      <c r="H12" s="36" t="s">
        <v>33</v>
      </c>
      <c r="I12" s="36" t="s">
        <v>33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 ht="22.5" customHeight="1">
      <c r="A13" s="32"/>
      <c r="B13" s="38">
        <v>8.0</v>
      </c>
      <c r="C13" s="39" t="s">
        <v>60</v>
      </c>
      <c r="D13" s="35" t="s">
        <v>59</v>
      </c>
      <c r="E13" s="33" t="s">
        <v>53</v>
      </c>
      <c r="F13" s="36" t="s">
        <v>33</v>
      </c>
      <c r="G13" s="36" t="s">
        <v>33</v>
      </c>
      <c r="H13" s="36" t="s">
        <v>33</v>
      </c>
      <c r="I13" s="36" t="s">
        <v>33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</row>
    <row r="14" ht="22.5" customHeight="1">
      <c r="A14" s="32"/>
      <c r="B14" s="38">
        <v>9.0</v>
      </c>
      <c r="C14" s="37" t="s">
        <v>61</v>
      </c>
      <c r="D14" s="35" t="s">
        <v>46</v>
      </c>
      <c r="E14" s="33" t="s">
        <v>53</v>
      </c>
      <c r="F14" s="36" t="s">
        <v>33</v>
      </c>
      <c r="G14" s="36" t="s">
        <v>33</v>
      </c>
      <c r="H14" s="36" t="s">
        <v>33</v>
      </c>
      <c r="I14" s="36" t="s">
        <v>33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</row>
    <row r="15" ht="22.5" customHeight="1">
      <c r="A15" s="32"/>
      <c r="B15" s="38">
        <v>10.0</v>
      </c>
      <c r="C15" s="40"/>
      <c r="D15" s="35" t="s">
        <v>62</v>
      </c>
      <c r="E15" s="33" t="s">
        <v>53</v>
      </c>
      <c r="F15" s="36"/>
      <c r="G15" s="41"/>
      <c r="H15" s="41"/>
      <c r="I15" s="36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  <row r="16" ht="22.5" customHeight="1">
      <c r="A16" s="32"/>
      <c r="B16" s="38">
        <v>11.0</v>
      </c>
      <c r="C16" s="42" t="s">
        <v>63</v>
      </c>
      <c r="D16" s="35" t="s">
        <v>64</v>
      </c>
      <c r="E16" s="33" t="s">
        <v>53</v>
      </c>
      <c r="F16" s="36"/>
      <c r="G16" s="41"/>
      <c r="H16" s="41"/>
      <c r="I16" s="36" t="s">
        <v>33</v>
      </c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</row>
    <row r="17" ht="22.5" customHeight="1">
      <c r="A17" s="32"/>
      <c r="B17" s="38">
        <v>12.0</v>
      </c>
      <c r="C17" s="39" t="s">
        <v>65</v>
      </c>
      <c r="D17" s="35" t="s">
        <v>59</v>
      </c>
      <c r="E17" s="33" t="s">
        <v>66</v>
      </c>
      <c r="F17" s="36" t="s">
        <v>33</v>
      </c>
      <c r="G17" s="36" t="s">
        <v>33</v>
      </c>
      <c r="H17" s="36"/>
      <c r="I17" s="36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</row>
    <row r="18" ht="22.5" customHeight="1">
      <c r="A18" s="32"/>
      <c r="B18" s="38">
        <v>13.0</v>
      </c>
      <c r="C18" s="43" t="s">
        <v>67</v>
      </c>
      <c r="D18" s="43" t="s">
        <v>59</v>
      </c>
      <c r="E18" s="44" t="s">
        <v>68</v>
      </c>
      <c r="F18" s="36" t="s">
        <v>33</v>
      </c>
      <c r="G18" s="36" t="s">
        <v>33</v>
      </c>
      <c r="H18" s="36" t="s">
        <v>33</v>
      </c>
      <c r="I18" s="36" t="s">
        <v>33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</row>
    <row r="19" ht="22.5" customHeight="1">
      <c r="A19" s="32"/>
      <c r="B19" s="45"/>
      <c r="C19" s="46"/>
      <c r="D19" s="46"/>
      <c r="E19" s="47"/>
      <c r="F19" s="48"/>
      <c r="G19" s="41"/>
      <c r="H19" s="41"/>
      <c r="I19" s="41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</row>
    <row r="20" ht="22.5" customHeight="1">
      <c r="A20" s="49"/>
      <c r="B20" s="50"/>
      <c r="C20" s="51" t="s">
        <v>69</v>
      </c>
      <c r="D20" s="52"/>
      <c r="E20" s="53"/>
      <c r="F20" s="54">
        <f t="shared" ref="F20:I20" si="1">COUNTIF(F6:F19,"&lt;&gt;"&amp;"")</f>
        <v>11</v>
      </c>
      <c r="G20" s="54">
        <f t="shared" si="1"/>
        <v>11</v>
      </c>
      <c r="H20" s="54">
        <f t="shared" si="1"/>
        <v>10</v>
      </c>
      <c r="I20" s="54">
        <f t="shared" si="1"/>
        <v>11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</row>
    <row r="22" ht="20.25" customHeight="1">
      <c r="A22" s="25"/>
      <c r="B22" s="55">
        <v>14.0</v>
      </c>
      <c r="C22" s="56" t="s">
        <v>70</v>
      </c>
      <c r="D22" s="57"/>
      <c r="E22" s="57"/>
      <c r="F22" s="58" t="s">
        <v>71</v>
      </c>
      <c r="G22" s="58" t="s">
        <v>71</v>
      </c>
      <c r="H22" s="58" t="s">
        <v>71</v>
      </c>
      <c r="I22" s="58" t="s">
        <v>72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</row>
    <row r="23" ht="20.25" customHeight="1">
      <c r="A23" s="25"/>
      <c r="B23" s="55">
        <v>15.0</v>
      </c>
      <c r="C23" s="59" t="s">
        <v>73</v>
      </c>
      <c r="D23" s="60"/>
      <c r="E23" s="61" t="s">
        <v>74</v>
      </c>
      <c r="F23" s="58" t="s">
        <v>71</v>
      </c>
      <c r="G23" s="58" t="s">
        <v>71</v>
      </c>
      <c r="H23" s="58" t="s">
        <v>71</v>
      </c>
      <c r="I23" s="58" t="s">
        <v>72</v>
      </c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  <row r="100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</row>
  </sheetData>
  <mergeCells count="1">
    <mergeCell ref="B1:D1"/>
  </mergeCells>
  <dataValidations>
    <dataValidation type="list" allowBlank="1" showErrorMessage="1" sqref="D15:D19">
      <formula1>'6. No. of Competitors'!$C$9:$C$20</formula1>
    </dataValidation>
    <dataValidation type="custom" allowBlank="1" showDropDown="1" sqref="B6:B20">
      <formula1>AND(ISNUMBER(B6),(NOT(OR(NOT(ISERROR(DATEVALUE(B6))), AND(ISNUMBER(B6), LEFT(CELL("format", B6))="D")))))</formula1>
    </dataValidation>
    <dataValidation type="list" allowBlank="1" sqref="F22:I23">
      <formula1>"No,Yes,N/A"</formula1>
    </dataValidation>
    <dataValidation type="list" allowBlank="1" showErrorMessage="1" sqref="D6:D14">
      <formula1>'6. No. of Competitors'!$C$9:$C$19</formula1>
    </dataValidation>
  </dataValidations>
  <hyperlinks>
    <hyperlink r:id="rId1" ref="E23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6.25"/>
    <col customWidth="1" min="3" max="3" width="36.63"/>
    <col customWidth="1" min="4" max="4" width="16.75"/>
    <col customWidth="1" min="5" max="5" width="18.0"/>
    <col customWidth="1" min="6" max="7" width="20.5"/>
    <col customWidth="1" min="8" max="8" width="33.0"/>
    <col customWidth="1" min="9" max="9" width="20.5"/>
  </cols>
  <sheetData>
    <row r="1">
      <c r="A1" s="29"/>
      <c r="B1" s="62" t="str">
        <f>CONCATENATE('0. Checklist'!D1, " ", '0. Checklist'!D2)</f>
        <v>9 IT Software Solutions for Business</v>
      </c>
      <c r="C1" s="63"/>
      <c r="D1" s="64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</row>
    <row r="2">
      <c r="A2" s="29"/>
      <c r="B2" s="65" t="s">
        <v>31</v>
      </c>
      <c r="C2" s="66" t="s">
        <v>75</v>
      </c>
      <c r="D2" s="64">
        <f t="array" ref="D2">SUM(COUNTIFS(C7:C20,"&lt;&gt;"&amp;"", E7:E20, {"DCE","E","CE"}))</f>
        <v>9</v>
      </c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>
      <c r="A3" s="29"/>
      <c r="B3" s="65" t="s">
        <v>31</v>
      </c>
      <c r="C3" s="66" t="s">
        <v>76</v>
      </c>
      <c r="D3" s="64">
        <f t="array" ref="D3">SUM(COUNTIFS(C7:C21,"&lt;&gt;"&amp;"", E7:E21, {"DCE","E","CE", "JC","Sponsor", "WM", "WMA", "Technical Observer","Secretariat", "Interpreter"}))</f>
        <v>12</v>
      </c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>
      <c r="A4" s="29"/>
      <c r="B4" s="29"/>
      <c r="C4" s="66"/>
      <c r="D4" s="64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</row>
    <row r="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</row>
    <row r="6" ht="22.5" customHeight="1">
      <c r="A6" s="67"/>
      <c r="B6" s="30" t="s">
        <v>34</v>
      </c>
      <c r="C6" s="30" t="s">
        <v>35</v>
      </c>
      <c r="D6" s="30" t="s">
        <v>36</v>
      </c>
      <c r="E6" s="30" t="s">
        <v>77</v>
      </c>
      <c r="F6" s="31" t="s">
        <v>78</v>
      </c>
      <c r="G6" s="30" t="s">
        <v>37</v>
      </c>
      <c r="H6" s="31" t="s">
        <v>79</v>
      </c>
      <c r="I6" s="31" t="s">
        <v>80</v>
      </c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</row>
    <row r="7" ht="19.5" customHeight="1">
      <c r="A7" s="29"/>
      <c r="B7" s="33">
        <v>1.0</v>
      </c>
      <c r="C7" s="34" t="s">
        <v>42</v>
      </c>
      <c r="D7" s="35" t="s">
        <v>43</v>
      </c>
      <c r="E7" s="33" t="s">
        <v>44</v>
      </c>
      <c r="F7" s="68" t="s">
        <v>81</v>
      </c>
      <c r="G7" s="68" t="s">
        <v>82</v>
      </c>
      <c r="H7" s="69" t="s">
        <v>83</v>
      </c>
      <c r="I7" s="70">
        <v>6.6866147997E10</v>
      </c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</row>
    <row r="8" ht="19.5" customHeight="1">
      <c r="A8" s="29"/>
      <c r="B8" s="33">
        <v>2.0</v>
      </c>
      <c r="C8" s="37" t="s">
        <v>45</v>
      </c>
      <c r="D8" s="35" t="s">
        <v>46</v>
      </c>
      <c r="E8" s="33" t="s">
        <v>47</v>
      </c>
      <c r="F8" s="68" t="s">
        <v>84</v>
      </c>
      <c r="G8" s="68" t="s">
        <v>85</v>
      </c>
      <c r="H8" s="71" t="s">
        <v>86</v>
      </c>
      <c r="I8" s="72">
        <f>6591520295</f>
        <v>6591520295</v>
      </c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</row>
    <row r="9" ht="19.5" customHeight="1">
      <c r="A9" s="29"/>
      <c r="B9" s="33">
        <v>3.0</v>
      </c>
      <c r="C9" s="37" t="s">
        <v>48</v>
      </c>
      <c r="D9" s="35" t="s">
        <v>49</v>
      </c>
      <c r="E9" s="33" t="s">
        <v>50</v>
      </c>
      <c r="F9" s="68" t="s">
        <v>87</v>
      </c>
      <c r="G9" s="68" t="s">
        <v>88</v>
      </c>
      <c r="H9" s="71" t="s">
        <v>89</v>
      </c>
      <c r="I9" s="73" t="s">
        <v>90</v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</row>
    <row r="10" ht="19.5" customHeight="1">
      <c r="A10" s="29"/>
      <c r="B10" s="33">
        <v>4.0</v>
      </c>
      <c r="C10" s="37" t="s">
        <v>51</v>
      </c>
      <c r="D10" s="35" t="s">
        <v>52</v>
      </c>
      <c r="E10" s="33" t="s">
        <v>53</v>
      </c>
      <c r="F10" s="68" t="s">
        <v>91</v>
      </c>
      <c r="G10" s="68" t="s">
        <v>92</v>
      </c>
      <c r="H10" s="69" t="s">
        <v>93</v>
      </c>
      <c r="I10" s="74" t="s">
        <v>94</v>
      </c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</row>
    <row r="11" ht="19.5" customHeight="1">
      <c r="A11" s="29"/>
      <c r="B11" s="33">
        <v>5.0</v>
      </c>
      <c r="C11" s="34" t="s">
        <v>54</v>
      </c>
      <c r="D11" s="35" t="s">
        <v>55</v>
      </c>
      <c r="E11" s="33" t="s">
        <v>53</v>
      </c>
      <c r="F11" s="68" t="s">
        <v>95</v>
      </c>
      <c r="G11" s="68" t="s">
        <v>96</v>
      </c>
      <c r="H11" s="71" t="s">
        <v>97</v>
      </c>
      <c r="I11" s="75" t="s">
        <v>98</v>
      </c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</row>
    <row r="12" ht="19.5" customHeight="1">
      <c r="A12" s="29"/>
      <c r="B12" s="33">
        <v>6.0</v>
      </c>
      <c r="C12" s="37" t="s">
        <v>56</v>
      </c>
      <c r="D12" s="35" t="s">
        <v>57</v>
      </c>
      <c r="E12" s="33" t="s">
        <v>53</v>
      </c>
      <c r="F12" s="68" t="s">
        <v>99</v>
      </c>
      <c r="G12" s="68" t="s">
        <v>88</v>
      </c>
      <c r="H12" s="76" t="s">
        <v>100</v>
      </c>
      <c r="I12" s="77" t="s">
        <v>101</v>
      </c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 ht="19.5" customHeight="1">
      <c r="A13" s="29"/>
      <c r="B13" s="33">
        <v>7.0</v>
      </c>
      <c r="C13" s="39" t="s">
        <v>58</v>
      </c>
      <c r="D13" s="35" t="s">
        <v>59</v>
      </c>
      <c r="E13" s="33" t="s">
        <v>53</v>
      </c>
      <c r="F13" s="78" t="s">
        <v>102</v>
      </c>
      <c r="G13" s="78" t="s">
        <v>103</v>
      </c>
      <c r="H13" s="79" t="s">
        <v>104</v>
      </c>
      <c r="I13" s="80">
        <v>9.171372217E9</v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 ht="19.5" customHeight="1">
      <c r="A14" s="29"/>
      <c r="B14" s="33">
        <v>8.0</v>
      </c>
      <c r="C14" s="39" t="s">
        <v>60</v>
      </c>
      <c r="D14" s="35" t="s">
        <v>59</v>
      </c>
      <c r="E14" s="33" t="s">
        <v>53</v>
      </c>
      <c r="F14" s="81" t="s">
        <v>105</v>
      </c>
      <c r="G14" s="81" t="s">
        <v>106</v>
      </c>
      <c r="H14" s="81" t="s">
        <v>107</v>
      </c>
      <c r="I14" s="82">
        <v>9.066884769E9</v>
      </c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</row>
    <row r="15" ht="19.5" customHeight="1">
      <c r="A15" s="29"/>
      <c r="B15" s="33">
        <v>9.0</v>
      </c>
      <c r="C15" s="37" t="s">
        <v>61</v>
      </c>
      <c r="D15" s="35" t="s">
        <v>46</v>
      </c>
      <c r="E15" s="33" t="s">
        <v>53</v>
      </c>
      <c r="F15" s="42" t="s">
        <v>108</v>
      </c>
      <c r="G15" s="42" t="s">
        <v>109</v>
      </c>
      <c r="H15" s="71" t="s">
        <v>110</v>
      </c>
      <c r="I15" s="72">
        <f>6590048855</f>
        <v>6590048855</v>
      </c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</row>
    <row r="16" ht="19.5" customHeight="1">
      <c r="A16" s="29"/>
      <c r="B16" s="33">
        <v>10.0</v>
      </c>
      <c r="C16" s="34" t="s">
        <v>63</v>
      </c>
      <c r="D16" s="35" t="s">
        <v>64</v>
      </c>
      <c r="E16" s="33" t="s">
        <v>53</v>
      </c>
      <c r="F16" s="68" t="s">
        <v>111</v>
      </c>
      <c r="G16" s="42" t="s">
        <v>112</v>
      </c>
      <c r="H16" s="83" t="s">
        <v>113</v>
      </c>
      <c r="I16" s="72">
        <f>959796979886</f>
        <v>959796979886</v>
      </c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</row>
    <row r="17" ht="19.5" customHeight="1">
      <c r="A17" s="29"/>
      <c r="B17" s="33">
        <v>11.0</v>
      </c>
      <c r="C17" s="35"/>
      <c r="D17" s="35" t="s">
        <v>62</v>
      </c>
      <c r="E17" s="33" t="s">
        <v>53</v>
      </c>
      <c r="F17" s="84"/>
      <c r="G17" s="84"/>
      <c r="H17" s="84"/>
      <c r="I17" s="84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ht="19.5" customHeight="1">
      <c r="A18" s="29"/>
      <c r="B18" s="33">
        <v>12.0</v>
      </c>
      <c r="C18" s="35"/>
      <c r="D18" s="40"/>
      <c r="E18" s="33" t="s">
        <v>114</v>
      </c>
      <c r="F18" s="84"/>
      <c r="G18" s="84"/>
      <c r="H18" s="84"/>
      <c r="I18" s="84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ht="19.5" customHeight="1">
      <c r="A19" s="29"/>
      <c r="B19" s="33">
        <v>13.0</v>
      </c>
      <c r="C19" s="39" t="s">
        <v>65</v>
      </c>
      <c r="D19" s="35" t="s">
        <v>59</v>
      </c>
      <c r="E19" s="33" t="s">
        <v>66</v>
      </c>
      <c r="F19" s="68" t="s">
        <v>115</v>
      </c>
      <c r="G19" s="85" t="s">
        <v>116</v>
      </c>
      <c r="H19" s="68" t="s">
        <v>117</v>
      </c>
      <c r="I19" s="84">
        <f>639391509075</f>
        <v>639391509075</v>
      </c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ht="19.5" customHeight="1">
      <c r="A20" s="29"/>
      <c r="B20" s="38">
        <v>14.0</v>
      </c>
      <c r="C20" s="35" t="s">
        <v>67</v>
      </c>
      <c r="D20" s="35" t="s">
        <v>59</v>
      </c>
      <c r="E20" s="33" t="s">
        <v>68</v>
      </c>
      <c r="F20" s="68" t="s">
        <v>118</v>
      </c>
      <c r="G20" s="68" t="s">
        <v>119</v>
      </c>
      <c r="H20" s="68" t="s">
        <v>120</v>
      </c>
      <c r="I20" s="68">
        <f>639918179615</f>
        <v>639918179615</v>
      </c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ht="20.25" customHeight="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>
      <c r="A22" s="29"/>
      <c r="B22" s="86">
        <v>15.0</v>
      </c>
      <c r="C22" s="87" t="s">
        <v>121</v>
      </c>
      <c r="D22" s="87"/>
      <c r="E22" s="87" t="s">
        <v>122</v>
      </c>
      <c r="F22" s="9"/>
      <c r="G22" s="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</row>
    <row r="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</row>
    <row r="26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</row>
    <row r="28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</row>
    <row r="29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</row>
    <row r="3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</row>
    <row r="32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</row>
    <row r="3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</row>
    <row r="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</row>
  </sheetData>
  <dataValidations>
    <dataValidation type="list" allowBlank="1" sqref="E22">
      <formula1>"Not started,Ongoing,Completed"</formula1>
    </dataValidation>
    <dataValidation type="custom" allowBlank="1" showDropDown="1" sqref="B7:B20">
      <formula1>AND(ISNUMBER(B7),(NOT(OR(NOT(ISERROR(DATEVALUE(B7))), AND(ISNUMBER(B7), LEFT(CELL("format", B7))="D")))))</formula1>
    </dataValidation>
    <dataValidation type="list" allowBlank="1" showErrorMessage="1" sqref="D7:D20">
      <formula1>'6. No. of Competitors'!$C$9:$C$19</formula1>
    </dataValidation>
  </dataValidations>
  <hyperlinks>
    <hyperlink r:id="rId1" ref="H8"/>
    <hyperlink r:id="rId2" ref="H9"/>
    <hyperlink r:id="rId3" ref="H11"/>
    <hyperlink r:id="rId4" ref="H12"/>
    <hyperlink r:id="rId5" ref="H13"/>
    <hyperlink r:id="rId6" ref="H15"/>
  </hyperlinks>
  <drawing r:id="rId7"/>
  <tableParts count="1"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.63"/>
    <col customWidth="1" min="3" max="3" width="24.5"/>
    <col customWidth="1" min="4" max="4" width="22.63"/>
    <col customWidth="1" min="5" max="5" width="15.5"/>
    <col customWidth="1" min="6" max="6" width="17.63"/>
    <col customWidth="1" min="7" max="7" width="27.75"/>
  </cols>
  <sheetData>
    <row r="1">
      <c r="A1" s="88"/>
      <c r="B1" s="62" t="str">
        <f>CONCATENATE('0. Checklist'!D1, " ", '0. Checklist'!D2)</f>
        <v>9 IT Software Solutions for Business</v>
      </c>
      <c r="C1" s="89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>
      <c r="A2" s="88"/>
      <c r="B2" s="90" t="s">
        <v>31</v>
      </c>
      <c r="C2" s="91" t="s">
        <v>123</v>
      </c>
      <c r="D2" s="92" t="s">
        <v>124</v>
      </c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>
      <c r="A3" s="88"/>
      <c r="B3" s="90" t="s">
        <v>31</v>
      </c>
      <c r="C3" s="91" t="s">
        <v>125</v>
      </c>
      <c r="D3" s="92" t="s">
        <v>126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>
      <c r="A4" s="88"/>
      <c r="B4" s="90" t="s">
        <v>31</v>
      </c>
      <c r="C4" s="91" t="s">
        <v>127</v>
      </c>
      <c r="D4" s="92" t="s">
        <v>128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</row>
    <row r="5">
      <c r="A5" s="88"/>
      <c r="B5" s="90" t="s">
        <v>31</v>
      </c>
      <c r="C5" s="91" t="s">
        <v>129</v>
      </c>
      <c r="D5" s="92">
        <f>D20</f>
        <v>12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</row>
    <row r="6">
      <c r="A6" s="88"/>
      <c r="B6" s="90"/>
      <c r="C6" s="91"/>
      <c r="D6" s="92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</row>
    <row r="7">
      <c r="A7" s="88"/>
      <c r="B7" s="88"/>
      <c r="C7" s="91"/>
      <c r="D7" s="91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</row>
    <row r="8" ht="22.5" customHeight="1">
      <c r="A8" s="24"/>
      <c r="B8" s="31" t="s">
        <v>8</v>
      </c>
      <c r="C8" s="31" t="s">
        <v>130</v>
      </c>
      <c r="D8" s="31" t="s">
        <v>131</v>
      </c>
      <c r="E8" s="31" t="s">
        <v>132</v>
      </c>
      <c r="F8" s="31" t="s">
        <v>133</v>
      </c>
      <c r="G8" s="31" t="s">
        <v>134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 ht="22.5" customHeight="1">
      <c r="A9" s="65"/>
      <c r="B9" s="36">
        <v>1.0</v>
      </c>
      <c r="C9" s="68" t="s">
        <v>52</v>
      </c>
      <c r="D9" s="36">
        <v>1.0</v>
      </c>
      <c r="E9" s="93" t="s">
        <v>71</v>
      </c>
      <c r="F9" s="93" t="s">
        <v>71</v>
      </c>
      <c r="G9" s="68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 ht="22.5" customHeight="1">
      <c r="A10" s="65"/>
      <c r="B10" s="36">
        <v>2.0</v>
      </c>
      <c r="C10" s="68" t="s">
        <v>55</v>
      </c>
      <c r="D10" s="36">
        <v>1.0</v>
      </c>
      <c r="E10" s="93" t="s">
        <v>71</v>
      </c>
      <c r="F10" s="93" t="s">
        <v>71</v>
      </c>
      <c r="G10" s="68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</row>
    <row r="11" ht="22.5" customHeight="1">
      <c r="A11" s="65"/>
      <c r="B11" s="36">
        <v>3.0</v>
      </c>
      <c r="C11" s="68" t="s">
        <v>57</v>
      </c>
      <c r="D11" s="36">
        <v>1.0</v>
      </c>
      <c r="E11" s="93" t="s">
        <v>71</v>
      </c>
      <c r="F11" s="93" t="s">
        <v>71</v>
      </c>
      <c r="G11" s="68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</row>
    <row r="12" ht="22.5" customHeight="1">
      <c r="A12" s="65"/>
      <c r="B12" s="36">
        <v>4.0</v>
      </c>
      <c r="C12" s="68" t="s">
        <v>135</v>
      </c>
      <c r="D12" s="36" t="s">
        <v>72</v>
      </c>
      <c r="E12" s="93" t="s">
        <v>72</v>
      </c>
      <c r="F12" s="93" t="s">
        <v>72</v>
      </c>
      <c r="G12" s="68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</row>
    <row r="13" ht="22.5" customHeight="1">
      <c r="A13" s="65"/>
      <c r="B13" s="36">
        <v>5.0</v>
      </c>
      <c r="C13" s="68" t="s">
        <v>49</v>
      </c>
      <c r="D13" s="36">
        <v>1.0</v>
      </c>
      <c r="E13" s="93" t="s">
        <v>71</v>
      </c>
      <c r="F13" s="93" t="s">
        <v>71</v>
      </c>
      <c r="G13" s="68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</row>
    <row r="14" ht="22.5" customHeight="1">
      <c r="A14" s="65"/>
      <c r="B14" s="36">
        <v>6.0</v>
      </c>
      <c r="C14" s="68" t="s">
        <v>64</v>
      </c>
      <c r="D14" s="36">
        <v>2.0</v>
      </c>
      <c r="E14" s="93" t="s">
        <v>72</v>
      </c>
      <c r="F14" s="93" t="s">
        <v>72</v>
      </c>
      <c r="G14" s="68" t="s">
        <v>136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</row>
    <row r="15" ht="22.5" customHeight="1">
      <c r="A15" s="65"/>
      <c r="B15" s="36">
        <v>7.0</v>
      </c>
      <c r="C15" s="68" t="s">
        <v>59</v>
      </c>
      <c r="D15" s="36">
        <v>2.0</v>
      </c>
      <c r="E15" s="93" t="s">
        <v>71</v>
      </c>
      <c r="F15" s="93" t="s">
        <v>71</v>
      </c>
      <c r="G15" s="68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</row>
    <row r="16" ht="22.5" customHeight="1">
      <c r="A16" s="65"/>
      <c r="B16" s="36">
        <v>8.0</v>
      </c>
      <c r="C16" s="68" t="s">
        <v>46</v>
      </c>
      <c r="D16" s="36">
        <v>2.0</v>
      </c>
      <c r="E16" s="93" t="s">
        <v>71</v>
      </c>
      <c r="F16" s="93" t="s">
        <v>71</v>
      </c>
      <c r="G16" s="68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</row>
    <row r="17" ht="22.5" customHeight="1">
      <c r="A17" s="65"/>
      <c r="B17" s="36">
        <v>9.0</v>
      </c>
      <c r="C17" s="68" t="s">
        <v>43</v>
      </c>
      <c r="D17" s="36" t="s">
        <v>72</v>
      </c>
      <c r="E17" s="93" t="s">
        <v>72</v>
      </c>
      <c r="F17" s="93" t="s">
        <v>72</v>
      </c>
      <c r="G17" s="68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</row>
    <row r="18" ht="22.5" customHeight="1">
      <c r="A18" s="65"/>
      <c r="B18" s="36">
        <v>10.0</v>
      </c>
      <c r="C18" s="68" t="s">
        <v>62</v>
      </c>
      <c r="D18" s="36">
        <v>2.0</v>
      </c>
      <c r="E18" s="93" t="s">
        <v>71</v>
      </c>
      <c r="F18" s="93" t="s">
        <v>71</v>
      </c>
      <c r="G18" s="68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</row>
    <row r="19" ht="22.5" customHeight="1">
      <c r="A19" s="65"/>
      <c r="B19" s="36">
        <v>11.0</v>
      </c>
      <c r="C19" s="68" t="s">
        <v>137</v>
      </c>
      <c r="D19" s="36" t="s">
        <v>72</v>
      </c>
      <c r="E19" s="93" t="s">
        <v>72</v>
      </c>
      <c r="F19" s="93" t="s">
        <v>72</v>
      </c>
      <c r="G19" s="68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</row>
    <row r="20" ht="22.5" customHeight="1">
      <c r="A20" s="67"/>
      <c r="B20" s="94"/>
      <c r="C20" s="95" t="s">
        <v>138</v>
      </c>
      <c r="D20" s="41">
        <f>SUM(D9:D19)</f>
        <v>12</v>
      </c>
      <c r="E20" s="96"/>
      <c r="F20" s="96"/>
      <c r="G20" s="97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</row>
    <row r="21">
      <c r="A21" s="88"/>
      <c r="B21" s="88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>
      <c r="A22" s="88"/>
      <c r="B22" s="88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>
      <c r="A23" s="88"/>
      <c r="B23" s="88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>
      <c r="A24" s="88"/>
      <c r="B24" s="88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>
      <c r="A25" s="88"/>
      <c r="B25" s="88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>
      <c r="A26" s="88"/>
      <c r="B26" s="88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>
      <c r="A27" s="88"/>
      <c r="B27" s="88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>
      <c r="A28" s="88"/>
      <c r="B28" s="88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>
      <c r="A29" s="88"/>
      <c r="B29" s="88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>
      <c r="A30" s="88"/>
      <c r="B30" s="88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>
      <c r="A31" s="88"/>
      <c r="B31" s="88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>
      <c r="A32" s="88"/>
      <c r="B32" s="88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</row>
    <row r="33">
      <c r="A33" s="88"/>
      <c r="B33" s="88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</row>
    <row r="34">
      <c r="A34" s="88"/>
      <c r="B34" s="88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</row>
    <row r="35">
      <c r="A35" s="88"/>
      <c r="B35" s="88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</row>
    <row r="36">
      <c r="A36" s="88"/>
      <c r="B36" s="88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</row>
    <row r="37">
      <c r="A37" s="88"/>
      <c r="B37" s="88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</row>
    <row r="38">
      <c r="A38" s="88"/>
      <c r="B38" s="88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</row>
    <row r="39">
      <c r="A39" s="88"/>
      <c r="B39" s="88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</row>
    <row r="40">
      <c r="A40" s="88"/>
      <c r="B40" s="88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</row>
    <row r="41">
      <c r="A41" s="88"/>
      <c r="B41" s="88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</row>
    <row r="42">
      <c r="A42" s="88"/>
      <c r="B42" s="88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</row>
    <row r="43">
      <c r="A43" s="88"/>
      <c r="B43" s="88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</row>
    <row r="44">
      <c r="A44" s="88"/>
      <c r="B44" s="88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</row>
    <row r="45">
      <c r="A45" s="88"/>
      <c r="B45" s="88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</row>
    <row r="46">
      <c r="A46" s="88"/>
      <c r="B46" s="88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</row>
    <row r="47">
      <c r="A47" s="88"/>
      <c r="B47" s="88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</row>
    <row r="48">
      <c r="A48" s="88"/>
      <c r="B48" s="88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</row>
    <row r="49">
      <c r="A49" s="88"/>
      <c r="B49" s="88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</row>
    <row r="50">
      <c r="A50" s="88"/>
      <c r="B50" s="88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</row>
    <row r="51">
      <c r="A51" s="88"/>
      <c r="B51" s="88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</row>
    <row r="52">
      <c r="A52" s="88"/>
      <c r="B52" s="88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</row>
    <row r="53">
      <c r="A53" s="88"/>
      <c r="B53" s="88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</row>
    <row r="54">
      <c r="A54" s="88"/>
      <c r="B54" s="88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  <row r="55">
      <c r="A55" s="88"/>
      <c r="B55" s="88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</row>
    <row r="56">
      <c r="A56" s="88"/>
      <c r="B56" s="88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</row>
    <row r="57">
      <c r="A57" s="88"/>
      <c r="B57" s="88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</row>
    <row r="58">
      <c r="A58" s="88"/>
      <c r="B58" s="88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</row>
    <row r="59">
      <c r="A59" s="88"/>
      <c r="B59" s="88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</row>
    <row r="60">
      <c r="A60" s="88"/>
      <c r="B60" s="88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</row>
    <row r="61">
      <c r="A61" s="88"/>
      <c r="B61" s="88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</row>
    <row r="62">
      <c r="A62" s="88"/>
      <c r="B62" s="88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</row>
    <row r="63">
      <c r="A63" s="88"/>
      <c r="B63" s="88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</row>
    <row r="64">
      <c r="A64" s="88"/>
      <c r="B64" s="88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</row>
    <row r="65">
      <c r="A65" s="88"/>
      <c r="B65" s="88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</row>
    <row r="66">
      <c r="A66" s="88"/>
      <c r="B66" s="88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</row>
    <row r="67">
      <c r="A67" s="88"/>
      <c r="B67" s="88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</row>
    <row r="68">
      <c r="A68" s="88"/>
      <c r="B68" s="88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</row>
    <row r="69">
      <c r="A69" s="88"/>
      <c r="B69" s="88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</row>
    <row r="70">
      <c r="A70" s="88"/>
      <c r="B70" s="88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</row>
    <row r="71">
      <c r="A71" s="88"/>
      <c r="B71" s="88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</row>
    <row r="72">
      <c r="A72" s="88"/>
      <c r="B72" s="88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</row>
    <row r="73">
      <c r="A73" s="88"/>
      <c r="B73" s="88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</row>
    <row r="74">
      <c r="A74" s="88"/>
      <c r="B74" s="88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</row>
    <row r="75">
      <c r="A75" s="88"/>
      <c r="B75" s="88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</row>
    <row r="76">
      <c r="A76" s="88"/>
      <c r="B76" s="88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</row>
    <row r="77">
      <c r="A77" s="88"/>
      <c r="B77" s="88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</row>
    <row r="78">
      <c r="A78" s="88"/>
      <c r="B78" s="88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</row>
    <row r="79">
      <c r="A79" s="88"/>
      <c r="B79" s="88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</row>
    <row r="80">
      <c r="A80" s="88"/>
      <c r="B80" s="88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</row>
    <row r="81">
      <c r="A81" s="88"/>
      <c r="B81" s="88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</row>
    <row r="82">
      <c r="A82" s="88"/>
      <c r="B82" s="88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</row>
    <row r="83">
      <c r="A83" s="88"/>
      <c r="B83" s="88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</row>
    <row r="84">
      <c r="A84" s="88"/>
      <c r="B84" s="88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</row>
    <row r="85">
      <c r="A85" s="88"/>
      <c r="B85" s="88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</row>
    <row r="86">
      <c r="A86" s="88"/>
      <c r="B86" s="88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</row>
    <row r="87">
      <c r="A87" s="88"/>
      <c r="B87" s="88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</row>
    <row r="88">
      <c r="A88" s="88"/>
      <c r="B88" s="88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</row>
    <row r="89">
      <c r="A89" s="88"/>
      <c r="B89" s="88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</row>
    <row r="90">
      <c r="A90" s="88"/>
      <c r="B90" s="88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</row>
    <row r="91">
      <c r="A91" s="88"/>
      <c r="B91" s="88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</row>
    <row r="92">
      <c r="A92" s="88"/>
      <c r="B92" s="88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</row>
    <row r="93">
      <c r="A93" s="88"/>
      <c r="B93" s="88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</row>
    <row r="94">
      <c r="A94" s="88"/>
      <c r="B94" s="88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</row>
    <row r="95">
      <c r="A95" s="88"/>
      <c r="B95" s="88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</row>
    <row r="96">
      <c r="A96" s="88"/>
      <c r="B96" s="88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</row>
    <row r="97">
      <c r="A97" s="88"/>
      <c r="B97" s="88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</row>
    <row r="98">
      <c r="A98" s="88"/>
      <c r="B98" s="88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</row>
    <row r="99">
      <c r="A99" s="88"/>
      <c r="B99" s="88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</row>
    <row r="100">
      <c r="A100" s="88"/>
      <c r="B100" s="88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</row>
    <row r="101">
      <c r="A101" s="88"/>
      <c r="B101" s="88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</row>
    <row r="102">
      <c r="A102" s="88"/>
      <c r="B102" s="88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</row>
    <row r="103">
      <c r="A103" s="88"/>
      <c r="B103" s="88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</row>
    <row r="104">
      <c r="A104" s="88"/>
      <c r="B104" s="88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</row>
    <row r="105">
      <c r="A105" s="88"/>
      <c r="B105" s="88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</row>
    <row r="106">
      <c r="A106" s="88"/>
      <c r="B106" s="88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</row>
    <row r="107">
      <c r="A107" s="88"/>
      <c r="B107" s="88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</row>
    <row r="108">
      <c r="A108" s="88"/>
      <c r="B108" s="88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</row>
    <row r="109">
      <c r="A109" s="88"/>
      <c r="B109" s="88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</row>
    <row r="110">
      <c r="A110" s="88"/>
      <c r="B110" s="88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</row>
    <row r="111">
      <c r="A111" s="88"/>
      <c r="B111" s="88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</row>
    <row r="112">
      <c r="A112" s="88"/>
      <c r="B112" s="88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</row>
    <row r="113">
      <c r="A113" s="88"/>
      <c r="B113" s="88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</row>
    <row r="114">
      <c r="A114" s="88"/>
      <c r="B114" s="88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</row>
    <row r="115">
      <c r="A115" s="88"/>
      <c r="B115" s="88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</row>
    <row r="116">
      <c r="A116" s="88"/>
      <c r="B116" s="88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</row>
    <row r="117">
      <c r="A117" s="88"/>
      <c r="B117" s="88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</row>
    <row r="118">
      <c r="A118" s="88"/>
      <c r="B118" s="88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</row>
    <row r="119">
      <c r="A119" s="88"/>
      <c r="B119" s="88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</row>
    <row r="120">
      <c r="A120" s="88"/>
      <c r="B120" s="88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</row>
    <row r="121">
      <c r="A121" s="88"/>
      <c r="B121" s="88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</row>
    <row r="122">
      <c r="A122" s="88"/>
      <c r="B122" s="88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</row>
    <row r="123">
      <c r="A123" s="88"/>
      <c r="B123" s="88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</row>
    <row r="124">
      <c r="A124" s="88"/>
      <c r="B124" s="88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</row>
    <row r="125">
      <c r="A125" s="88"/>
      <c r="B125" s="88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</row>
    <row r="126">
      <c r="A126" s="88"/>
      <c r="B126" s="88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</row>
    <row r="127">
      <c r="A127" s="88"/>
      <c r="B127" s="88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</row>
    <row r="128">
      <c r="A128" s="88"/>
      <c r="B128" s="88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</row>
    <row r="129">
      <c r="A129" s="88"/>
      <c r="B129" s="88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</row>
    <row r="130">
      <c r="A130" s="88"/>
      <c r="B130" s="88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</row>
    <row r="131">
      <c r="A131" s="88"/>
      <c r="B131" s="88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</row>
    <row r="132">
      <c r="A132" s="88"/>
      <c r="B132" s="88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</row>
    <row r="133">
      <c r="A133" s="88"/>
      <c r="B133" s="88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</row>
    <row r="134">
      <c r="A134" s="88"/>
      <c r="B134" s="88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</row>
    <row r="135">
      <c r="A135" s="88"/>
      <c r="B135" s="88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</row>
    <row r="136">
      <c r="A136" s="88"/>
      <c r="B136" s="88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</row>
    <row r="137">
      <c r="A137" s="88"/>
      <c r="B137" s="88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</row>
    <row r="138">
      <c r="A138" s="88"/>
      <c r="B138" s="88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</row>
    <row r="139">
      <c r="A139" s="88"/>
      <c r="B139" s="88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</row>
    <row r="140">
      <c r="A140" s="88"/>
      <c r="B140" s="88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</row>
    <row r="141">
      <c r="A141" s="88"/>
      <c r="B141" s="88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</row>
    <row r="142">
      <c r="A142" s="88"/>
      <c r="B142" s="88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</row>
    <row r="143">
      <c r="A143" s="88"/>
      <c r="B143" s="88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</row>
    <row r="144">
      <c r="A144" s="88"/>
      <c r="B144" s="88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</row>
    <row r="145">
      <c r="A145" s="88"/>
      <c r="B145" s="88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</row>
    <row r="146">
      <c r="A146" s="88"/>
      <c r="B146" s="88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</row>
    <row r="147">
      <c r="A147" s="88"/>
      <c r="B147" s="88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</row>
    <row r="148">
      <c r="A148" s="88"/>
      <c r="B148" s="88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</row>
    <row r="149">
      <c r="A149" s="88"/>
      <c r="B149" s="88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</row>
    <row r="150">
      <c r="A150" s="88"/>
      <c r="B150" s="88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</row>
    <row r="151">
      <c r="A151" s="88"/>
      <c r="B151" s="88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</row>
    <row r="152">
      <c r="A152" s="88"/>
      <c r="B152" s="88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</row>
    <row r="153">
      <c r="A153" s="88"/>
      <c r="B153" s="88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</row>
    <row r="154">
      <c r="A154" s="88"/>
      <c r="B154" s="88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</row>
    <row r="155">
      <c r="A155" s="88"/>
      <c r="B155" s="88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</row>
    <row r="156">
      <c r="A156" s="88"/>
      <c r="B156" s="88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</row>
    <row r="157">
      <c r="A157" s="88"/>
      <c r="B157" s="88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</row>
    <row r="158">
      <c r="A158" s="88"/>
      <c r="B158" s="88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</row>
    <row r="159">
      <c r="A159" s="88"/>
      <c r="B159" s="88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</row>
    <row r="160">
      <c r="A160" s="88"/>
      <c r="B160" s="88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</row>
    <row r="161">
      <c r="A161" s="88"/>
      <c r="B161" s="88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</row>
    <row r="162">
      <c r="A162" s="88"/>
      <c r="B162" s="88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</row>
    <row r="163">
      <c r="A163" s="88"/>
      <c r="B163" s="88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</row>
    <row r="164">
      <c r="A164" s="88"/>
      <c r="B164" s="88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</row>
    <row r="165">
      <c r="A165" s="88"/>
      <c r="B165" s="88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</row>
    <row r="166">
      <c r="A166" s="88"/>
      <c r="B166" s="88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</row>
    <row r="167">
      <c r="A167" s="88"/>
      <c r="B167" s="88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</row>
    <row r="168">
      <c r="A168" s="88"/>
      <c r="B168" s="88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</row>
    <row r="169">
      <c r="A169" s="88"/>
      <c r="B169" s="88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</row>
    <row r="170">
      <c r="A170" s="88"/>
      <c r="B170" s="88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</row>
    <row r="171">
      <c r="A171" s="88"/>
      <c r="B171" s="88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</row>
    <row r="172">
      <c r="A172" s="88"/>
      <c r="B172" s="88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</row>
    <row r="173">
      <c r="A173" s="88"/>
      <c r="B173" s="88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</row>
    <row r="174">
      <c r="A174" s="88"/>
      <c r="B174" s="88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</row>
    <row r="175">
      <c r="A175" s="88"/>
      <c r="B175" s="88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</row>
    <row r="176">
      <c r="A176" s="88"/>
      <c r="B176" s="88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</row>
    <row r="177">
      <c r="A177" s="88"/>
      <c r="B177" s="88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</row>
    <row r="178">
      <c r="A178" s="88"/>
      <c r="B178" s="88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</row>
    <row r="179">
      <c r="A179" s="88"/>
      <c r="B179" s="88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</row>
    <row r="180">
      <c r="A180" s="88"/>
      <c r="B180" s="88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</row>
    <row r="181">
      <c r="A181" s="88"/>
      <c r="B181" s="88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</row>
    <row r="182">
      <c r="A182" s="88"/>
      <c r="B182" s="88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</row>
    <row r="183">
      <c r="A183" s="88"/>
      <c r="B183" s="88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</row>
    <row r="184">
      <c r="A184" s="88"/>
      <c r="B184" s="88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</row>
    <row r="185">
      <c r="A185" s="88"/>
      <c r="B185" s="88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</row>
    <row r="186">
      <c r="A186" s="88"/>
      <c r="B186" s="88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</row>
    <row r="187">
      <c r="A187" s="88"/>
      <c r="B187" s="88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</row>
    <row r="188">
      <c r="A188" s="88"/>
      <c r="B188" s="88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</row>
    <row r="189">
      <c r="A189" s="88"/>
      <c r="B189" s="88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</row>
    <row r="190">
      <c r="A190" s="88"/>
      <c r="B190" s="88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</row>
    <row r="191">
      <c r="A191" s="88"/>
      <c r="B191" s="88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</row>
    <row r="192">
      <c r="A192" s="88"/>
      <c r="B192" s="88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</row>
    <row r="193">
      <c r="A193" s="88"/>
      <c r="B193" s="88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</row>
    <row r="194">
      <c r="A194" s="88"/>
      <c r="B194" s="88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</row>
    <row r="195">
      <c r="A195" s="88"/>
      <c r="B195" s="88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</row>
    <row r="196">
      <c r="A196" s="88"/>
      <c r="B196" s="88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</row>
    <row r="197">
      <c r="A197" s="88"/>
      <c r="B197" s="88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</row>
    <row r="198">
      <c r="A198" s="88"/>
      <c r="B198" s="88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</row>
    <row r="199">
      <c r="A199" s="88"/>
      <c r="B199" s="88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</row>
    <row r="200">
      <c r="A200" s="88"/>
      <c r="B200" s="88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</row>
    <row r="201">
      <c r="A201" s="88"/>
      <c r="B201" s="88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</row>
    <row r="202">
      <c r="A202" s="88"/>
      <c r="B202" s="88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</row>
    <row r="203">
      <c r="A203" s="88"/>
      <c r="B203" s="88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</row>
    <row r="204">
      <c r="A204" s="88"/>
      <c r="B204" s="88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</row>
    <row r="205">
      <c r="A205" s="88"/>
      <c r="B205" s="88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</row>
    <row r="206">
      <c r="A206" s="88"/>
      <c r="B206" s="88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</row>
    <row r="207">
      <c r="A207" s="88"/>
      <c r="B207" s="88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</row>
    <row r="208">
      <c r="A208" s="88"/>
      <c r="B208" s="88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</row>
    <row r="209">
      <c r="A209" s="88"/>
      <c r="B209" s="88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</row>
    <row r="210">
      <c r="A210" s="88"/>
      <c r="B210" s="88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</row>
    <row r="211">
      <c r="A211" s="88"/>
      <c r="B211" s="88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</row>
    <row r="212">
      <c r="A212" s="88"/>
      <c r="B212" s="88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</row>
    <row r="213">
      <c r="A213" s="88"/>
      <c r="B213" s="88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</row>
    <row r="214">
      <c r="A214" s="88"/>
      <c r="B214" s="88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</row>
    <row r="215">
      <c r="A215" s="88"/>
      <c r="B215" s="88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</row>
    <row r="216">
      <c r="A216" s="88"/>
      <c r="B216" s="88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</row>
    <row r="217">
      <c r="A217" s="88"/>
      <c r="B217" s="88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</row>
    <row r="218">
      <c r="A218" s="88"/>
      <c r="B218" s="88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</row>
    <row r="219">
      <c r="A219" s="88"/>
      <c r="B219" s="88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</row>
    <row r="220">
      <c r="A220" s="88"/>
      <c r="B220" s="88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</row>
    <row r="221">
      <c r="A221" s="88"/>
      <c r="B221" s="88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</row>
    <row r="222">
      <c r="A222" s="88"/>
      <c r="B222" s="88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</row>
    <row r="223">
      <c r="A223" s="88"/>
      <c r="B223" s="88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</row>
    <row r="224">
      <c r="A224" s="88"/>
      <c r="B224" s="88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</row>
    <row r="225">
      <c r="A225" s="88"/>
      <c r="B225" s="88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</row>
    <row r="226">
      <c r="A226" s="88"/>
      <c r="B226" s="88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</row>
    <row r="227">
      <c r="A227" s="88"/>
      <c r="B227" s="88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</row>
    <row r="228">
      <c r="A228" s="88"/>
      <c r="B228" s="88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</row>
    <row r="229">
      <c r="A229" s="88"/>
      <c r="B229" s="88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</row>
    <row r="230">
      <c r="A230" s="88"/>
      <c r="B230" s="88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</row>
    <row r="231">
      <c r="A231" s="88"/>
      <c r="B231" s="88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</row>
    <row r="232">
      <c r="A232" s="88"/>
      <c r="B232" s="88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</row>
    <row r="233">
      <c r="A233" s="88"/>
      <c r="B233" s="88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</row>
    <row r="234">
      <c r="A234" s="88"/>
      <c r="B234" s="88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</row>
    <row r="235">
      <c r="A235" s="88"/>
      <c r="B235" s="88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</row>
    <row r="236">
      <c r="A236" s="88"/>
      <c r="B236" s="88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</row>
    <row r="237">
      <c r="A237" s="88"/>
      <c r="B237" s="88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</row>
    <row r="238">
      <c r="A238" s="88"/>
      <c r="B238" s="88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</row>
    <row r="239">
      <c r="A239" s="88"/>
      <c r="B239" s="88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</row>
    <row r="240">
      <c r="A240" s="88"/>
      <c r="B240" s="88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</row>
    <row r="241">
      <c r="A241" s="88"/>
      <c r="B241" s="88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</row>
    <row r="242">
      <c r="A242" s="88"/>
      <c r="B242" s="88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</row>
    <row r="243">
      <c r="A243" s="88"/>
      <c r="B243" s="88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</row>
    <row r="244">
      <c r="A244" s="88"/>
      <c r="B244" s="88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</row>
    <row r="245">
      <c r="A245" s="88"/>
      <c r="B245" s="88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</row>
    <row r="246">
      <c r="A246" s="88"/>
      <c r="B246" s="88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</row>
    <row r="247">
      <c r="A247" s="88"/>
      <c r="B247" s="88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</row>
    <row r="248">
      <c r="A248" s="88"/>
      <c r="B248" s="88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</row>
    <row r="249">
      <c r="A249" s="88"/>
      <c r="B249" s="88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</row>
    <row r="250">
      <c r="A250" s="88"/>
      <c r="B250" s="88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</row>
    <row r="251">
      <c r="A251" s="88"/>
      <c r="B251" s="88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</row>
    <row r="252">
      <c r="A252" s="88"/>
      <c r="B252" s="88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</row>
    <row r="253">
      <c r="A253" s="88"/>
      <c r="B253" s="88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</row>
    <row r="254">
      <c r="A254" s="88"/>
      <c r="B254" s="88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</row>
    <row r="255">
      <c r="A255" s="88"/>
      <c r="B255" s="88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</row>
    <row r="256">
      <c r="A256" s="88"/>
      <c r="B256" s="88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</row>
    <row r="257">
      <c r="A257" s="88"/>
      <c r="B257" s="88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</row>
    <row r="258">
      <c r="A258" s="88"/>
      <c r="B258" s="88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</row>
    <row r="259">
      <c r="A259" s="88"/>
      <c r="B259" s="88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</row>
    <row r="260">
      <c r="A260" s="88"/>
      <c r="B260" s="88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</row>
    <row r="261">
      <c r="A261" s="88"/>
      <c r="B261" s="88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</row>
    <row r="262">
      <c r="A262" s="88"/>
      <c r="B262" s="88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</row>
    <row r="263">
      <c r="A263" s="88"/>
      <c r="B263" s="88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</row>
    <row r="264">
      <c r="A264" s="88"/>
      <c r="B264" s="88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</row>
    <row r="265">
      <c r="A265" s="88"/>
      <c r="B265" s="88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</row>
    <row r="266">
      <c r="A266" s="88"/>
      <c r="B266" s="88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</row>
    <row r="267">
      <c r="A267" s="88"/>
      <c r="B267" s="88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</row>
    <row r="268">
      <c r="A268" s="88"/>
      <c r="B268" s="88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</row>
    <row r="269">
      <c r="A269" s="88"/>
      <c r="B269" s="88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</row>
    <row r="270">
      <c r="A270" s="88"/>
      <c r="B270" s="88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</row>
    <row r="271">
      <c r="A271" s="88"/>
      <c r="B271" s="88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</row>
    <row r="272">
      <c r="A272" s="88"/>
      <c r="B272" s="88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</row>
    <row r="273">
      <c r="A273" s="88"/>
      <c r="B273" s="88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</row>
    <row r="274">
      <c r="A274" s="88"/>
      <c r="B274" s="88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</row>
    <row r="275">
      <c r="A275" s="88"/>
      <c r="B275" s="88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</row>
    <row r="276">
      <c r="A276" s="88"/>
      <c r="B276" s="88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</row>
    <row r="277">
      <c r="A277" s="88"/>
      <c r="B277" s="88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</row>
    <row r="278">
      <c r="A278" s="88"/>
      <c r="B278" s="88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</row>
    <row r="279">
      <c r="A279" s="88"/>
      <c r="B279" s="88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</row>
    <row r="280">
      <c r="A280" s="88"/>
      <c r="B280" s="88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</row>
    <row r="281">
      <c r="A281" s="88"/>
      <c r="B281" s="88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</row>
    <row r="282">
      <c r="A282" s="88"/>
      <c r="B282" s="88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</row>
    <row r="283">
      <c r="A283" s="88"/>
      <c r="B283" s="88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</row>
    <row r="284">
      <c r="A284" s="88"/>
      <c r="B284" s="88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</row>
    <row r="285">
      <c r="A285" s="88"/>
      <c r="B285" s="88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</row>
    <row r="286">
      <c r="A286" s="88"/>
      <c r="B286" s="88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</row>
    <row r="287">
      <c r="A287" s="88"/>
      <c r="B287" s="88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</row>
    <row r="288">
      <c r="A288" s="88"/>
      <c r="B288" s="88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</row>
    <row r="289">
      <c r="A289" s="88"/>
      <c r="B289" s="88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</row>
    <row r="290">
      <c r="A290" s="88"/>
      <c r="B290" s="88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</row>
    <row r="291">
      <c r="A291" s="88"/>
      <c r="B291" s="88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</row>
    <row r="292">
      <c r="A292" s="88"/>
      <c r="B292" s="88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</row>
    <row r="293">
      <c r="A293" s="88"/>
      <c r="B293" s="88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</row>
    <row r="294">
      <c r="A294" s="88"/>
      <c r="B294" s="88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</row>
    <row r="295">
      <c r="A295" s="88"/>
      <c r="B295" s="88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</row>
    <row r="296">
      <c r="A296" s="88"/>
      <c r="B296" s="88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</row>
    <row r="297">
      <c r="A297" s="88"/>
      <c r="B297" s="88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</row>
    <row r="298">
      <c r="A298" s="88"/>
      <c r="B298" s="88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</row>
    <row r="299">
      <c r="A299" s="88"/>
      <c r="B299" s="88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</row>
    <row r="300">
      <c r="A300" s="88"/>
      <c r="B300" s="88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</row>
    <row r="301">
      <c r="A301" s="88"/>
      <c r="B301" s="88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</row>
    <row r="302">
      <c r="A302" s="88"/>
      <c r="B302" s="88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</row>
    <row r="303">
      <c r="A303" s="88"/>
      <c r="B303" s="88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</row>
    <row r="304">
      <c r="A304" s="88"/>
      <c r="B304" s="88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</row>
    <row r="305">
      <c r="A305" s="88"/>
      <c r="B305" s="88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</row>
    <row r="306">
      <c r="A306" s="88"/>
      <c r="B306" s="88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</row>
    <row r="307">
      <c r="A307" s="88"/>
      <c r="B307" s="88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</row>
    <row r="308">
      <c r="A308" s="88"/>
      <c r="B308" s="88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</row>
    <row r="309">
      <c r="A309" s="88"/>
      <c r="B309" s="88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</row>
    <row r="310">
      <c r="A310" s="88"/>
      <c r="B310" s="88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</row>
    <row r="311">
      <c r="A311" s="88"/>
      <c r="B311" s="88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</row>
    <row r="312">
      <c r="A312" s="88"/>
      <c r="B312" s="88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</row>
    <row r="313">
      <c r="A313" s="88"/>
      <c r="B313" s="88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</row>
    <row r="314">
      <c r="A314" s="88"/>
      <c r="B314" s="88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</row>
    <row r="315">
      <c r="A315" s="88"/>
      <c r="B315" s="88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</row>
    <row r="316">
      <c r="A316" s="88"/>
      <c r="B316" s="88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</row>
    <row r="317">
      <c r="A317" s="88"/>
      <c r="B317" s="88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</row>
    <row r="318">
      <c r="A318" s="88"/>
      <c r="B318" s="88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</row>
    <row r="319">
      <c r="A319" s="88"/>
      <c r="B319" s="88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</row>
    <row r="320">
      <c r="A320" s="88"/>
      <c r="B320" s="88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</row>
    <row r="321">
      <c r="A321" s="88"/>
      <c r="B321" s="88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</row>
    <row r="322">
      <c r="A322" s="88"/>
      <c r="B322" s="88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</row>
    <row r="323">
      <c r="A323" s="88"/>
      <c r="B323" s="88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</row>
    <row r="324">
      <c r="A324" s="88"/>
      <c r="B324" s="88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</row>
    <row r="325">
      <c r="A325" s="88"/>
      <c r="B325" s="88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</row>
    <row r="326">
      <c r="A326" s="88"/>
      <c r="B326" s="88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</row>
    <row r="327">
      <c r="A327" s="88"/>
      <c r="B327" s="88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</row>
    <row r="328">
      <c r="A328" s="88"/>
      <c r="B328" s="88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</row>
    <row r="329">
      <c r="A329" s="88"/>
      <c r="B329" s="88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</row>
    <row r="330">
      <c r="A330" s="88"/>
      <c r="B330" s="88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</row>
    <row r="331">
      <c r="A331" s="88"/>
      <c r="B331" s="88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</row>
    <row r="332">
      <c r="A332" s="88"/>
      <c r="B332" s="88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</row>
    <row r="333">
      <c r="A333" s="88"/>
      <c r="B333" s="88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</row>
    <row r="334">
      <c r="A334" s="88"/>
      <c r="B334" s="88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</row>
    <row r="335">
      <c r="A335" s="88"/>
      <c r="B335" s="88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</row>
    <row r="336">
      <c r="A336" s="88"/>
      <c r="B336" s="88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</row>
    <row r="337">
      <c r="A337" s="88"/>
      <c r="B337" s="88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</row>
    <row r="338">
      <c r="A338" s="88"/>
      <c r="B338" s="88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</row>
    <row r="339">
      <c r="A339" s="88"/>
      <c r="B339" s="88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</row>
    <row r="340">
      <c r="A340" s="88"/>
      <c r="B340" s="88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</row>
    <row r="341">
      <c r="A341" s="88"/>
      <c r="B341" s="88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</row>
    <row r="342">
      <c r="A342" s="88"/>
      <c r="B342" s="88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</row>
    <row r="343">
      <c r="A343" s="88"/>
      <c r="B343" s="88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</row>
    <row r="344">
      <c r="A344" s="88"/>
      <c r="B344" s="88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</row>
    <row r="345">
      <c r="A345" s="88"/>
      <c r="B345" s="88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</row>
    <row r="346">
      <c r="A346" s="88"/>
      <c r="B346" s="88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</row>
    <row r="347">
      <c r="A347" s="88"/>
      <c r="B347" s="88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</row>
    <row r="348">
      <c r="A348" s="88"/>
      <c r="B348" s="88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</row>
    <row r="349">
      <c r="A349" s="88"/>
      <c r="B349" s="88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</row>
    <row r="350">
      <c r="A350" s="88"/>
      <c r="B350" s="88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</row>
    <row r="351">
      <c r="A351" s="88"/>
      <c r="B351" s="88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</row>
    <row r="352">
      <c r="A352" s="88"/>
      <c r="B352" s="88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</row>
    <row r="353">
      <c r="A353" s="88"/>
      <c r="B353" s="88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</row>
    <row r="354">
      <c r="A354" s="88"/>
      <c r="B354" s="88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</row>
    <row r="355">
      <c r="A355" s="88"/>
      <c r="B355" s="88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</row>
    <row r="356">
      <c r="A356" s="88"/>
      <c r="B356" s="88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</row>
    <row r="357">
      <c r="A357" s="88"/>
      <c r="B357" s="88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</row>
    <row r="358">
      <c r="A358" s="88"/>
      <c r="B358" s="88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</row>
    <row r="359">
      <c r="A359" s="88"/>
      <c r="B359" s="88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</row>
    <row r="360">
      <c r="A360" s="88"/>
      <c r="B360" s="88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</row>
    <row r="361">
      <c r="A361" s="88"/>
      <c r="B361" s="88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</row>
    <row r="362">
      <c r="A362" s="88"/>
      <c r="B362" s="88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</row>
    <row r="363">
      <c r="A363" s="88"/>
      <c r="B363" s="88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</row>
    <row r="364">
      <c r="A364" s="88"/>
      <c r="B364" s="88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</row>
    <row r="365">
      <c r="A365" s="88"/>
      <c r="B365" s="88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</row>
    <row r="366">
      <c r="A366" s="88"/>
      <c r="B366" s="88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</row>
    <row r="367">
      <c r="A367" s="88"/>
      <c r="B367" s="88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</row>
    <row r="368">
      <c r="A368" s="88"/>
      <c r="B368" s="88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</row>
    <row r="369">
      <c r="A369" s="88"/>
      <c r="B369" s="88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</row>
    <row r="370">
      <c r="A370" s="88"/>
      <c r="B370" s="88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</row>
    <row r="371">
      <c r="A371" s="88"/>
      <c r="B371" s="88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</row>
    <row r="372">
      <c r="A372" s="88"/>
      <c r="B372" s="88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</row>
    <row r="373">
      <c r="A373" s="88"/>
      <c r="B373" s="88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</row>
    <row r="374">
      <c r="A374" s="88"/>
      <c r="B374" s="88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</row>
    <row r="375">
      <c r="A375" s="88"/>
      <c r="B375" s="88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</row>
    <row r="376">
      <c r="A376" s="88"/>
      <c r="B376" s="88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</row>
    <row r="377">
      <c r="A377" s="88"/>
      <c r="B377" s="88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</row>
    <row r="378">
      <c r="A378" s="88"/>
      <c r="B378" s="88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</row>
    <row r="379">
      <c r="A379" s="88"/>
      <c r="B379" s="88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</row>
    <row r="380">
      <c r="A380" s="88"/>
      <c r="B380" s="88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</row>
    <row r="381">
      <c r="A381" s="88"/>
      <c r="B381" s="88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</row>
    <row r="382">
      <c r="A382" s="88"/>
      <c r="B382" s="88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</row>
    <row r="383">
      <c r="A383" s="88"/>
      <c r="B383" s="88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</row>
    <row r="384">
      <c r="A384" s="88"/>
      <c r="B384" s="88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</row>
    <row r="385">
      <c r="A385" s="88"/>
      <c r="B385" s="88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</row>
    <row r="386">
      <c r="A386" s="88"/>
      <c r="B386" s="88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</row>
    <row r="387">
      <c r="A387" s="88"/>
      <c r="B387" s="88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</row>
    <row r="388">
      <c r="A388" s="88"/>
      <c r="B388" s="88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</row>
    <row r="389">
      <c r="A389" s="88"/>
      <c r="B389" s="88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</row>
    <row r="390">
      <c r="A390" s="88"/>
      <c r="B390" s="88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</row>
    <row r="391">
      <c r="A391" s="88"/>
      <c r="B391" s="88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</row>
    <row r="392">
      <c r="A392" s="88"/>
      <c r="B392" s="88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</row>
    <row r="393">
      <c r="A393" s="88"/>
      <c r="B393" s="88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</row>
    <row r="394">
      <c r="A394" s="88"/>
      <c r="B394" s="88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</row>
    <row r="395">
      <c r="A395" s="88"/>
      <c r="B395" s="88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</row>
    <row r="396">
      <c r="A396" s="88"/>
      <c r="B396" s="88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</row>
    <row r="397">
      <c r="A397" s="88"/>
      <c r="B397" s="88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</row>
    <row r="398">
      <c r="A398" s="88"/>
      <c r="B398" s="88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</row>
    <row r="399">
      <c r="A399" s="88"/>
      <c r="B399" s="88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</row>
    <row r="400">
      <c r="A400" s="88"/>
      <c r="B400" s="88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</row>
    <row r="401">
      <c r="A401" s="88"/>
      <c r="B401" s="88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</row>
    <row r="402">
      <c r="A402" s="88"/>
      <c r="B402" s="88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</row>
    <row r="403">
      <c r="A403" s="88"/>
      <c r="B403" s="88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</row>
    <row r="404">
      <c r="A404" s="88"/>
      <c r="B404" s="88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</row>
    <row r="405">
      <c r="A405" s="88"/>
      <c r="B405" s="88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</row>
    <row r="406">
      <c r="A406" s="88"/>
      <c r="B406" s="88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</row>
    <row r="407">
      <c r="A407" s="88"/>
      <c r="B407" s="88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</row>
    <row r="408">
      <c r="A408" s="88"/>
      <c r="B408" s="88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</row>
    <row r="409">
      <c r="A409" s="88"/>
      <c r="B409" s="88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</row>
    <row r="410">
      <c r="A410" s="88"/>
      <c r="B410" s="88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</row>
    <row r="411">
      <c r="A411" s="88"/>
      <c r="B411" s="88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</row>
    <row r="412">
      <c r="A412" s="88"/>
      <c r="B412" s="88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</row>
    <row r="413">
      <c r="A413" s="88"/>
      <c r="B413" s="88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</row>
    <row r="414">
      <c r="A414" s="88"/>
      <c r="B414" s="88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</row>
    <row r="415">
      <c r="A415" s="88"/>
      <c r="B415" s="88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</row>
    <row r="416">
      <c r="A416" s="88"/>
      <c r="B416" s="88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</row>
    <row r="417">
      <c r="A417" s="88"/>
      <c r="B417" s="88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</row>
    <row r="418">
      <c r="A418" s="88"/>
      <c r="B418" s="88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</row>
    <row r="419">
      <c r="A419" s="88"/>
      <c r="B419" s="88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</row>
    <row r="420">
      <c r="A420" s="88"/>
      <c r="B420" s="88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</row>
    <row r="421">
      <c r="A421" s="88"/>
      <c r="B421" s="88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</row>
    <row r="422">
      <c r="A422" s="88"/>
      <c r="B422" s="88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</row>
    <row r="423">
      <c r="A423" s="88"/>
      <c r="B423" s="88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</row>
    <row r="424">
      <c r="A424" s="88"/>
      <c r="B424" s="88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</row>
    <row r="425">
      <c r="A425" s="88"/>
      <c r="B425" s="88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</row>
    <row r="426">
      <c r="A426" s="88"/>
      <c r="B426" s="88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</row>
    <row r="427">
      <c r="A427" s="88"/>
      <c r="B427" s="88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</row>
    <row r="428">
      <c r="A428" s="88"/>
      <c r="B428" s="88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</row>
    <row r="429">
      <c r="A429" s="88"/>
      <c r="B429" s="88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</row>
    <row r="430">
      <c r="A430" s="88"/>
      <c r="B430" s="88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</row>
    <row r="431">
      <c r="A431" s="88"/>
      <c r="B431" s="88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</row>
    <row r="432">
      <c r="A432" s="88"/>
      <c r="B432" s="88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</row>
    <row r="433">
      <c r="A433" s="88"/>
      <c r="B433" s="88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</row>
    <row r="434">
      <c r="A434" s="88"/>
      <c r="B434" s="88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</row>
    <row r="435">
      <c r="A435" s="88"/>
      <c r="B435" s="88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</row>
    <row r="436">
      <c r="A436" s="88"/>
      <c r="B436" s="88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</row>
    <row r="437">
      <c r="A437" s="88"/>
      <c r="B437" s="88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</row>
    <row r="438">
      <c r="A438" s="88"/>
      <c r="B438" s="88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</row>
    <row r="439">
      <c r="A439" s="88"/>
      <c r="B439" s="88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</row>
    <row r="440">
      <c r="A440" s="88"/>
      <c r="B440" s="88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</row>
    <row r="441">
      <c r="A441" s="88"/>
      <c r="B441" s="88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</row>
    <row r="442">
      <c r="A442" s="88"/>
      <c r="B442" s="88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</row>
    <row r="443">
      <c r="A443" s="88"/>
      <c r="B443" s="88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</row>
    <row r="444">
      <c r="A444" s="88"/>
      <c r="B444" s="88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</row>
    <row r="445">
      <c r="A445" s="88"/>
      <c r="B445" s="88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</row>
    <row r="446">
      <c r="A446" s="88"/>
      <c r="B446" s="88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</row>
    <row r="447">
      <c r="A447" s="88"/>
      <c r="B447" s="88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</row>
    <row r="448">
      <c r="A448" s="88"/>
      <c r="B448" s="88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</row>
    <row r="449">
      <c r="A449" s="88"/>
      <c r="B449" s="88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</row>
    <row r="450">
      <c r="A450" s="88"/>
      <c r="B450" s="88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</row>
    <row r="451">
      <c r="A451" s="88"/>
      <c r="B451" s="88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</row>
    <row r="452">
      <c r="A452" s="88"/>
      <c r="B452" s="88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</row>
    <row r="453">
      <c r="A453" s="88"/>
      <c r="B453" s="88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</row>
    <row r="454">
      <c r="A454" s="88"/>
      <c r="B454" s="88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</row>
    <row r="455">
      <c r="A455" s="88"/>
      <c r="B455" s="88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</row>
    <row r="456">
      <c r="A456" s="88"/>
      <c r="B456" s="88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</row>
    <row r="457">
      <c r="A457" s="88"/>
      <c r="B457" s="88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</row>
    <row r="458">
      <c r="A458" s="88"/>
      <c r="B458" s="88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</row>
    <row r="459">
      <c r="A459" s="88"/>
      <c r="B459" s="88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</row>
    <row r="460">
      <c r="A460" s="88"/>
      <c r="B460" s="88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</row>
    <row r="461">
      <c r="A461" s="88"/>
      <c r="B461" s="88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</row>
    <row r="462">
      <c r="A462" s="88"/>
      <c r="B462" s="88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</row>
    <row r="463">
      <c r="A463" s="88"/>
      <c r="B463" s="88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</row>
    <row r="464">
      <c r="A464" s="88"/>
      <c r="B464" s="88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</row>
    <row r="465">
      <c r="A465" s="88"/>
      <c r="B465" s="88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</row>
    <row r="466">
      <c r="A466" s="88"/>
      <c r="B466" s="88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</row>
    <row r="467">
      <c r="A467" s="88"/>
      <c r="B467" s="88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</row>
    <row r="468">
      <c r="A468" s="88"/>
      <c r="B468" s="88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</row>
    <row r="469">
      <c r="A469" s="88"/>
      <c r="B469" s="88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</row>
    <row r="470">
      <c r="A470" s="88"/>
      <c r="B470" s="88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</row>
    <row r="471">
      <c r="A471" s="88"/>
      <c r="B471" s="88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</row>
    <row r="472">
      <c r="A472" s="88"/>
      <c r="B472" s="88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</row>
    <row r="473">
      <c r="A473" s="88"/>
      <c r="B473" s="88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</row>
    <row r="474">
      <c r="A474" s="88"/>
      <c r="B474" s="88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</row>
    <row r="475">
      <c r="A475" s="88"/>
      <c r="B475" s="88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</row>
    <row r="476">
      <c r="A476" s="88"/>
      <c r="B476" s="88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</row>
    <row r="477">
      <c r="A477" s="88"/>
      <c r="B477" s="88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</row>
    <row r="478">
      <c r="A478" s="88"/>
      <c r="B478" s="88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</row>
    <row r="479">
      <c r="A479" s="88"/>
      <c r="B479" s="88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</row>
    <row r="480">
      <c r="A480" s="88"/>
      <c r="B480" s="88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</row>
    <row r="481">
      <c r="A481" s="88"/>
      <c r="B481" s="88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</row>
    <row r="482">
      <c r="A482" s="88"/>
      <c r="B482" s="88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</row>
    <row r="483">
      <c r="A483" s="88"/>
      <c r="B483" s="88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</row>
    <row r="484">
      <c r="A484" s="88"/>
      <c r="B484" s="88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</row>
    <row r="485">
      <c r="A485" s="88"/>
      <c r="B485" s="88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</row>
    <row r="486">
      <c r="A486" s="88"/>
      <c r="B486" s="88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</row>
    <row r="487">
      <c r="A487" s="88"/>
      <c r="B487" s="88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</row>
    <row r="488">
      <c r="A488" s="88"/>
      <c r="B488" s="88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</row>
    <row r="489">
      <c r="A489" s="88"/>
      <c r="B489" s="88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</row>
    <row r="490">
      <c r="A490" s="88"/>
      <c r="B490" s="88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</row>
    <row r="491">
      <c r="A491" s="88"/>
      <c r="B491" s="88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</row>
    <row r="492">
      <c r="A492" s="88"/>
      <c r="B492" s="88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</row>
    <row r="493">
      <c r="A493" s="88"/>
      <c r="B493" s="88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</row>
    <row r="494">
      <c r="A494" s="88"/>
      <c r="B494" s="88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</row>
    <row r="495">
      <c r="A495" s="88"/>
      <c r="B495" s="88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</row>
    <row r="496">
      <c r="A496" s="88"/>
      <c r="B496" s="88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</row>
    <row r="497">
      <c r="A497" s="88"/>
      <c r="B497" s="88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</row>
    <row r="498">
      <c r="A498" s="88"/>
      <c r="B498" s="88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</row>
    <row r="499">
      <c r="A499" s="88"/>
      <c r="B499" s="88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</row>
    <row r="500">
      <c r="A500" s="88"/>
      <c r="B500" s="88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</row>
    <row r="501">
      <c r="A501" s="88"/>
      <c r="B501" s="88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</row>
    <row r="502">
      <c r="A502" s="88"/>
      <c r="B502" s="88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</row>
    <row r="503">
      <c r="A503" s="88"/>
      <c r="B503" s="88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</row>
    <row r="504">
      <c r="A504" s="88"/>
      <c r="B504" s="88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</row>
    <row r="505">
      <c r="A505" s="88"/>
      <c r="B505" s="88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</row>
    <row r="506">
      <c r="A506" s="88"/>
      <c r="B506" s="88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</row>
    <row r="507">
      <c r="A507" s="88"/>
      <c r="B507" s="88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</row>
    <row r="508">
      <c r="A508" s="88"/>
      <c r="B508" s="88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</row>
    <row r="509">
      <c r="A509" s="88"/>
      <c r="B509" s="88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</row>
    <row r="510">
      <c r="A510" s="88"/>
      <c r="B510" s="88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</row>
    <row r="511">
      <c r="A511" s="88"/>
      <c r="B511" s="88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</row>
    <row r="512">
      <c r="A512" s="88"/>
      <c r="B512" s="88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</row>
    <row r="513">
      <c r="A513" s="88"/>
      <c r="B513" s="88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</row>
    <row r="514">
      <c r="A514" s="88"/>
      <c r="B514" s="88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</row>
    <row r="515">
      <c r="A515" s="88"/>
      <c r="B515" s="88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</row>
    <row r="516">
      <c r="A516" s="88"/>
      <c r="B516" s="88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</row>
    <row r="517">
      <c r="A517" s="88"/>
      <c r="B517" s="88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</row>
    <row r="518">
      <c r="A518" s="88"/>
      <c r="B518" s="88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</row>
    <row r="519">
      <c r="A519" s="88"/>
      <c r="B519" s="88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</row>
    <row r="520">
      <c r="A520" s="88"/>
      <c r="B520" s="88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</row>
    <row r="521">
      <c r="A521" s="88"/>
      <c r="B521" s="88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</row>
    <row r="522">
      <c r="A522" s="88"/>
      <c r="B522" s="88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</row>
    <row r="523">
      <c r="A523" s="88"/>
      <c r="B523" s="88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</row>
    <row r="524">
      <c r="A524" s="88"/>
      <c r="B524" s="88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</row>
    <row r="525">
      <c r="A525" s="88"/>
      <c r="B525" s="88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</row>
    <row r="526">
      <c r="A526" s="88"/>
      <c r="B526" s="88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</row>
    <row r="527">
      <c r="A527" s="88"/>
      <c r="B527" s="88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</row>
    <row r="528">
      <c r="A528" s="88"/>
      <c r="B528" s="88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</row>
    <row r="529">
      <c r="A529" s="88"/>
      <c r="B529" s="88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</row>
    <row r="530">
      <c r="A530" s="88"/>
      <c r="B530" s="88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</row>
    <row r="531">
      <c r="A531" s="88"/>
      <c r="B531" s="88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</row>
    <row r="532">
      <c r="A532" s="88"/>
      <c r="B532" s="88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</row>
    <row r="533">
      <c r="A533" s="88"/>
      <c r="B533" s="88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</row>
    <row r="534">
      <c r="A534" s="88"/>
      <c r="B534" s="88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</row>
    <row r="535">
      <c r="A535" s="88"/>
      <c r="B535" s="88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</row>
    <row r="536">
      <c r="A536" s="88"/>
      <c r="B536" s="88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</row>
    <row r="537">
      <c r="A537" s="88"/>
      <c r="B537" s="88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</row>
    <row r="538">
      <c r="A538" s="88"/>
      <c r="B538" s="88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</row>
    <row r="539">
      <c r="A539" s="88"/>
      <c r="B539" s="88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</row>
    <row r="540">
      <c r="A540" s="88"/>
      <c r="B540" s="88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</row>
    <row r="541">
      <c r="A541" s="88"/>
      <c r="B541" s="88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</row>
    <row r="542">
      <c r="A542" s="88"/>
      <c r="B542" s="88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</row>
    <row r="543">
      <c r="A543" s="88"/>
      <c r="B543" s="88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</row>
    <row r="544">
      <c r="A544" s="88"/>
      <c r="B544" s="88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</row>
    <row r="545">
      <c r="A545" s="88"/>
      <c r="B545" s="88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</row>
    <row r="546">
      <c r="A546" s="88"/>
      <c r="B546" s="88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</row>
    <row r="547">
      <c r="A547" s="88"/>
      <c r="B547" s="88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</row>
    <row r="548">
      <c r="A548" s="88"/>
      <c r="B548" s="88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</row>
    <row r="549">
      <c r="A549" s="88"/>
      <c r="B549" s="88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</row>
    <row r="550">
      <c r="A550" s="88"/>
      <c r="B550" s="88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</row>
    <row r="551">
      <c r="A551" s="88"/>
      <c r="B551" s="88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</row>
    <row r="552">
      <c r="A552" s="88"/>
      <c r="B552" s="88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</row>
    <row r="553">
      <c r="A553" s="88"/>
      <c r="B553" s="88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</row>
    <row r="554">
      <c r="A554" s="88"/>
      <c r="B554" s="88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</row>
    <row r="555">
      <c r="A555" s="88"/>
      <c r="B555" s="88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</row>
    <row r="556">
      <c r="A556" s="88"/>
      <c r="B556" s="88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</row>
    <row r="557">
      <c r="A557" s="88"/>
      <c r="B557" s="88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</row>
    <row r="558">
      <c r="A558" s="88"/>
      <c r="B558" s="88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</row>
    <row r="559">
      <c r="A559" s="88"/>
      <c r="B559" s="88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</row>
    <row r="560">
      <c r="A560" s="88"/>
      <c r="B560" s="88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</row>
    <row r="561">
      <c r="A561" s="88"/>
      <c r="B561" s="88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</row>
    <row r="562">
      <c r="A562" s="88"/>
      <c r="B562" s="88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</row>
    <row r="563">
      <c r="A563" s="88"/>
      <c r="B563" s="88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</row>
    <row r="564">
      <c r="A564" s="88"/>
      <c r="B564" s="88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</row>
    <row r="565">
      <c r="A565" s="88"/>
      <c r="B565" s="88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</row>
    <row r="566">
      <c r="A566" s="88"/>
      <c r="B566" s="88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</row>
    <row r="567">
      <c r="A567" s="88"/>
      <c r="B567" s="88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</row>
    <row r="568">
      <c r="A568" s="88"/>
      <c r="B568" s="88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</row>
    <row r="569">
      <c r="A569" s="88"/>
      <c r="B569" s="88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</row>
    <row r="570">
      <c r="A570" s="88"/>
      <c r="B570" s="88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</row>
    <row r="571">
      <c r="A571" s="88"/>
      <c r="B571" s="88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</row>
    <row r="572">
      <c r="A572" s="88"/>
      <c r="B572" s="88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</row>
    <row r="573">
      <c r="A573" s="88"/>
      <c r="B573" s="88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</row>
    <row r="574">
      <c r="A574" s="88"/>
      <c r="B574" s="88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</row>
    <row r="575">
      <c r="A575" s="88"/>
      <c r="B575" s="88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</row>
    <row r="576">
      <c r="A576" s="88"/>
      <c r="B576" s="88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</row>
    <row r="577">
      <c r="A577" s="88"/>
      <c r="B577" s="88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</row>
    <row r="578">
      <c r="A578" s="88"/>
      <c r="B578" s="88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</row>
    <row r="579">
      <c r="A579" s="88"/>
      <c r="B579" s="88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</row>
    <row r="580">
      <c r="A580" s="88"/>
      <c r="B580" s="88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</row>
    <row r="581">
      <c r="A581" s="88"/>
      <c r="B581" s="88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</row>
    <row r="582">
      <c r="A582" s="88"/>
      <c r="B582" s="88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</row>
    <row r="583">
      <c r="A583" s="88"/>
      <c r="B583" s="88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</row>
    <row r="584">
      <c r="A584" s="88"/>
      <c r="B584" s="88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</row>
    <row r="585">
      <c r="A585" s="88"/>
      <c r="B585" s="88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</row>
    <row r="586">
      <c r="A586" s="88"/>
      <c r="B586" s="88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</row>
    <row r="587">
      <c r="A587" s="88"/>
      <c r="B587" s="88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</row>
    <row r="588">
      <c r="A588" s="88"/>
      <c r="B588" s="88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</row>
    <row r="589">
      <c r="A589" s="88"/>
      <c r="B589" s="88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</row>
    <row r="590">
      <c r="A590" s="88"/>
      <c r="B590" s="88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</row>
    <row r="591">
      <c r="A591" s="88"/>
      <c r="B591" s="88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</row>
    <row r="592">
      <c r="A592" s="88"/>
      <c r="B592" s="88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</row>
    <row r="593">
      <c r="A593" s="88"/>
      <c r="B593" s="88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</row>
    <row r="594">
      <c r="A594" s="88"/>
      <c r="B594" s="88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</row>
    <row r="595">
      <c r="A595" s="88"/>
      <c r="B595" s="88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</row>
    <row r="596">
      <c r="A596" s="88"/>
      <c r="B596" s="88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</row>
    <row r="597">
      <c r="A597" s="88"/>
      <c r="B597" s="88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</row>
    <row r="598">
      <c r="A598" s="88"/>
      <c r="B598" s="88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</row>
    <row r="599">
      <c r="A599" s="88"/>
      <c r="B599" s="88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</row>
    <row r="600">
      <c r="A600" s="88"/>
      <c r="B600" s="88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</row>
    <row r="601">
      <c r="A601" s="88"/>
      <c r="B601" s="88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</row>
    <row r="602">
      <c r="A602" s="88"/>
      <c r="B602" s="88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</row>
    <row r="603">
      <c r="A603" s="88"/>
      <c r="B603" s="88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</row>
    <row r="604">
      <c r="A604" s="88"/>
      <c r="B604" s="88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</row>
    <row r="605">
      <c r="A605" s="88"/>
      <c r="B605" s="88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</row>
    <row r="606">
      <c r="A606" s="88"/>
      <c r="B606" s="88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</row>
    <row r="607">
      <c r="A607" s="88"/>
      <c r="B607" s="88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</row>
    <row r="608">
      <c r="A608" s="88"/>
      <c r="B608" s="88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</row>
    <row r="609">
      <c r="A609" s="88"/>
      <c r="B609" s="88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</row>
    <row r="610">
      <c r="A610" s="88"/>
      <c r="B610" s="88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</row>
    <row r="611">
      <c r="A611" s="88"/>
      <c r="B611" s="88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</row>
    <row r="612">
      <c r="A612" s="88"/>
      <c r="B612" s="88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</row>
    <row r="613">
      <c r="A613" s="88"/>
      <c r="B613" s="88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</row>
    <row r="614">
      <c r="A614" s="88"/>
      <c r="B614" s="88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</row>
    <row r="615">
      <c r="A615" s="88"/>
      <c r="B615" s="88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</row>
    <row r="616">
      <c r="A616" s="88"/>
      <c r="B616" s="88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</row>
    <row r="617">
      <c r="A617" s="88"/>
      <c r="B617" s="88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</row>
    <row r="618">
      <c r="A618" s="88"/>
      <c r="B618" s="88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</row>
    <row r="619">
      <c r="A619" s="88"/>
      <c r="B619" s="88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</row>
    <row r="620">
      <c r="A620" s="88"/>
      <c r="B620" s="88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</row>
    <row r="621">
      <c r="A621" s="88"/>
      <c r="B621" s="88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</row>
    <row r="622">
      <c r="A622" s="88"/>
      <c r="B622" s="88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</row>
    <row r="623">
      <c r="A623" s="88"/>
      <c r="B623" s="88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</row>
    <row r="624">
      <c r="A624" s="88"/>
      <c r="B624" s="88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</row>
    <row r="625">
      <c r="A625" s="88"/>
      <c r="B625" s="88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</row>
    <row r="626">
      <c r="A626" s="88"/>
      <c r="B626" s="88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</row>
    <row r="627">
      <c r="A627" s="88"/>
      <c r="B627" s="88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</row>
    <row r="628">
      <c r="A628" s="88"/>
      <c r="B628" s="88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</row>
    <row r="629">
      <c r="A629" s="88"/>
      <c r="B629" s="88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</row>
    <row r="630">
      <c r="A630" s="88"/>
      <c r="B630" s="88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</row>
    <row r="631">
      <c r="A631" s="88"/>
      <c r="B631" s="88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</row>
    <row r="632">
      <c r="A632" s="88"/>
      <c r="B632" s="88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</row>
    <row r="633">
      <c r="A633" s="88"/>
      <c r="B633" s="88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</row>
    <row r="634">
      <c r="A634" s="88"/>
      <c r="B634" s="88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</row>
    <row r="635">
      <c r="A635" s="88"/>
      <c r="B635" s="88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</row>
    <row r="636">
      <c r="A636" s="88"/>
      <c r="B636" s="88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</row>
    <row r="637">
      <c r="A637" s="88"/>
      <c r="B637" s="88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</row>
    <row r="638">
      <c r="A638" s="88"/>
      <c r="B638" s="88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</row>
    <row r="639">
      <c r="A639" s="88"/>
      <c r="B639" s="88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</row>
    <row r="640">
      <c r="A640" s="88"/>
      <c r="B640" s="88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</row>
    <row r="641">
      <c r="A641" s="88"/>
      <c r="B641" s="88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</row>
    <row r="642">
      <c r="A642" s="88"/>
      <c r="B642" s="88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</row>
    <row r="643">
      <c r="A643" s="88"/>
      <c r="B643" s="88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</row>
    <row r="644">
      <c r="A644" s="88"/>
      <c r="B644" s="88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</row>
    <row r="645">
      <c r="A645" s="88"/>
      <c r="B645" s="88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</row>
    <row r="646">
      <c r="A646" s="88"/>
      <c r="B646" s="88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</row>
    <row r="647">
      <c r="A647" s="88"/>
      <c r="B647" s="88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</row>
    <row r="648">
      <c r="A648" s="88"/>
      <c r="B648" s="88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</row>
    <row r="649">
      <c r="A649" s="88"/>
      <c r="B649" s="88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</row>
    <row r="650">
      <c r="A650" s="88"/>
      <c r="B650" s="88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</row>
    <row r="651">
      <c r="A651" s="88"/>
      <c r="B651" s="88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</row>
    <row r="652">
      <c r="A652" s="88"/>
      <c r="B652" s="88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</row>
    <row r="653">
      <c r="A653" s="88"/>
      <c r="B653" s="88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</row>
    <row r="654">
      <c r="A654" s="88"/>
      <c r="B654" s="88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</row>
    <row r="655">
      <c r="A655" s="88"/>
      <c r="B655" s="88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</row>
    <row r="656">
      <c r="A656" s="88"/>
      <c r="B656" s="88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</row>
    <row r="657">
      <c r="A657" s="88"/>
      <c r="B657" s="88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</row>
    <row r="658">
      <c r="A658" s="88"/>
      <c r="B658" s="88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</row>
    <row r="659">
      <c r="A659" s="88"/>
      <c r="B659" s="88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</row>
    <row r="660">
      <c r="A660" s="88"/>
      <c r="B660" s="88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</row>
    <row r="661">
      <c r="A661" s="88"/>
      <c r="B661" s="88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</row>
    <row r="662">
      <c r="A662" s="88"/>
      <c r="B662" s="88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</row>
    <row r="663">
      <c r="A663" s="88"/>
      <c r="B663" s="88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</row>
    <row r="664">
      <c r="A664" s="88"/>
      <c r="B664" s="88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</row>
    <row r="665">
      <c r="A665" s="88"/>
      <c r="B665" s="88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</row>
    <row r="666">
      <c r="A666" s="88"/>
      <c r="B666" s="88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</row>
    <row r="667">
      <c r="A667" s="88"/>
      <c r="B667" s="88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</row>
    <row r="668">
      <c r="A668" s="88"/>
      <c r="B668" s="88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</row>
    <row r="669">
      <c r="A669" s="88"/>
      <c r="B669" s="88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</row>
    <row r="670">
      <c r="A670" s="88"/>
      <c r="B670" s="88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</row>
    <row r="671">
      <c r="A671" s="88"/>
      <c r="B671" s="88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</row>
    <row r="672">
      <c r="A672" s="88"/>
      <c r="B672" s="88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</row>
    <row r="673">
      <c r="A673" s="88"/>
      <c r="B673" s="88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</row>
    <row r="674">
      <c r="A674" s="88"/>
      <c r="B674" s="88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</row>
    <row r="675">
      <c r="A675" s="88"/>
      <c r="B675" s="88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</row>
    <row r="676">
      <c r="A676" s="88"/>
      <c r="B676" s="88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</row>
    <row r="677">
      <c r="A677" s="88"/>
      <c r="B677" s="88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</row>
    <row r="678">
      <c r="A678" s="88"/>
      <c r="B678" s="88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</row>
    <row r="679">
      <c r="A679" s="88"/>
      <c r="B679" s="88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</row>
    <row r="680">
      <c r="A680" s="88"/>
      <c r="B680" s="88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</row>
    <row r="681">
      <c r="A681" s="88"/>
      <c r="B681" s="88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</row>
    <row r="682">
      <c r="A682" s="88"/>
      <c r="B682" s="88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</row>
    <row r="683">
      <c r="A683" s="88"/>
      <c r="B683" s="88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</row>
    <row r="684">
      <c r="A684" s="88"/>
      <c r="B684" s="88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</row>
    <row r="685">
      <c r="A685" s="88"/>
      <c r="B685" s="88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</row>
    <row r="686">
      <c r="A686" s="88"/>
      <c r="B686" s="88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</row>
    <row r="687">
      <c r="A687" s="88"/>
      <c r="B687" s="88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</row>
    <row r="688">
      <c r="A688" s="88"/>
      <c r="B688" s="88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</row>
    <row r="689">
      <c r="A689" s="88"/>
      <c r="B689" s="88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</row>
    <row r="690">
      <c r="A690" s="88"/>
      <c r="B690" s="88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</row>
    <row r="691">
      <c r="A691" s="88"/>
      <c r="B691" s="88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</row>
    <row r="692">
      <c r="A692" s="88"/>
      <c r="B692" s="88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</row>
    <row r="693">
      <c r="A693" s="88"/>
      <c r="B693" s="88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</row>
    <row r="694">
      <c r="A694" s="88"/>
      <c r="B694" s="88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</row>
    <row r="695">
      <c r="A695" s="88"/>
      <c r="B695" s="88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</row>
    <row r="696">
      <c r="A696" s="88"/>
      <c r="B696" s="88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</row>
    <row r="697">
      <c r="A697" s="88"/>
      <c r="B697" s="88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</row>
    <row r="698">
      <c r="A698" s="88"/>
      <c r="B698" s="88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</row>
    <row r="699">
      <c r="A699" s="88"/>
      <c r="B699" s="88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</row>
    <row r="700">
      <c r="A700" s="88"/>
      <c r="B700" s="88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</row>
    <row r="701">
      <c r="A701" s="88"/>
      <c r="B701" s="88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</row>
    <row r="702">
      <c r="A702" s="88"/>
      <c r="B702" s="88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</row>
    <row r="703">
      <c r="A703" s="88"/>
      <c r="B703" s="88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</row>
    <row r="704">
      <c r="A704" s="88"/>
      <c r="B704" s="88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</row>
    <row r="705">
      <c r="A705" s="88"/>
      <c r="B705" s="88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</row>
    <row r="706">
      <c r="A706" s="88"/>
      <c r="B706" s="88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</row>
    <row r="707">
      <c r="A707" s="88"/>
      <c r="B707" s="88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</row>
    <row r="708">
      <c r="A708" s="88"/>
      <c r="B708" s="88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</row>
    <row r="709">
      <c r="A709" s="88"/>
      <c r="B709" s="88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</row>
    <row r="710">
      <c r="A710" s="88"/>
      <c r="B710" s="88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</row>
    <row r="711">
      <c r="A711" s="88"/>
      <c r="B711" s="88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</row>
    <row r="712">
      <c r="A712" s="88"/>
      <c r="B712" s="88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</row>
    <row r="713">
      <c r="A713" s="88"/>
      <c r="B713" s="88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</row>
    <row r="714">
      <c r="A714" s="88"/>
      <c r="B714" s="88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</row>
    <row r="715">
      <c r="A715" s="88"/>
      <c r="B715" s="88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</row>
    <row r="716">
      <c r="A716" s="88"/>
      <c r="B716" s="88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</row>
    <row r="717">
      <c r="A717" s="88"/>
      <c r="B717" s="88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</row>
    <row r="718">
      <c r="A718" s="88"/>
      <c r="B718" s="88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</row>
    <row r="719">
      <c r="A719" s="88"/>
      <c r="B719" s="88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</row>
    <row r="720">
      <c r="A720" s="88"/>
      <c r="B720" s="88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</row>
    <row r="721">
      <c r="A721" s="88"/>
      <c r="B721" s="88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</row>
    <row r="722">
      <c r="A722" s="88"/>
      <c r="B722" s="88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</row>
    <row r="723">
      <c r="A723" s="88"/>
      <c r="B723" s="88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</row>
    <row r="724">
      <c r="A724" s="88"/>
      <c r="B724" s="88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</row>
    <row r="725">
      <c r="A725" s="88"/>
      <c r="B725" s="88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</row>
    <row r="726">
      <c r="A726" s="88"/>
      <c r="B726" s="88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</row>
    <row r="727">
      <c r="A727" s="88"/>
      <c r="B727" s="88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</row>
    <row r="728">
      <c r="A728" s="88"/>
      <c r="B728" s="88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</row>
    <row r="729">
      <c r="A729" s="88"/>
      <c r="B729" s="88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</row>
    <row r="730">
      <c r="A730" s="88"/>
      <c r="B730" s="88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</row>
    <row r="731">
      <c r="A731" s="88"/>
      <c r="B731" s="88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</row>
    <row r="732">
      <c r="A732" s="88"/>
      <c r="B732" s="88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</row>
    <row r="733">
      <c r="A733" s="88"/>
      <c r="B733" s="88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</row>
    <row r="734">
      <c r="A734" s="88"/>
      <c r="B734" s="88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</row>
    <row r="735">
      <c r="A735" s="88"/>
      <c r="B735" s="88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</row>
    <row r="736">
      <c r="A736" s="88"/>
      <c r="B736" s="88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</row>
    <row r="737">
      <c r="A737" s="88"/>
      <c r="B737" s="88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</row>
    <row r="738">
      <c r="A738" s="88"/>
      <c r="B738" s="88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</row>
    <row r="739">
      <c r="A739" s="88"/>
      <c r="B739" s="88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</row>
    <row r="740">
      <c r="A740" s="88"/>
      <c r="B740" s="88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</row>
    <row r="741">
      <c r="A741" s="88"/>
      <c r="B741" s="88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</row>
    <row r="742">
      <c r="A742" s="88"/>
      <c r="B742" s="88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</row>
    <row r="743">
      <c r="A743" s="88"/>
      <c r="B743" s="88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</row>
    <row r="744">
      <c r="A744" s="88"/>
      <c r="B744" s="88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</row>
    <row r="745">
      <c r="A745" s="88"/>
      <c r="B745" s="88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</row>
    <row r="746">
      <c r="A746" s="88"/>
      <c r="B746" s="88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</row>
    <row r="747">
      <c r="A747" s="88"/>
      <c r="B747" s="88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</row>
    <row r="748">
      <c r="A748" s="88"/>
      <c r="B748" s="88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</row>
    <row r="749">
      <c r="A749" s="88"/>
      <c r="B749" s="88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</row>
    <row r="750">
      <c r="A750" s="88"/>
      <c r="B750" s="88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</row>
    <row r="751">
      <c r="A751" s="88"/>
      <c r="B751" s="88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</row>
    <row r="752">
      <c r="A752" s="88"/>
      <c r="B752" s="88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</row>
    <row r="753">
      <c r="A753" s="88"/>
      <c r="B753" s="88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</row>
    <row r="754">
      <c r="A754" s="88"/>
      <c r="B754" s="88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</row>
    <row r="755">
      <c r="A755" s="88"/>
      <c r="B755" s="88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</row>
    <row r="756">
      <c r="A756" s="88"/>
      <c r="B756" s="88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</row>
    <row r="757">
      <c r="A757" s="88"/>
      <c r="B757" s="88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</row>
    <row r="758">
      <c r="A758" s="88"/>
      <c r="B758" s="88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</row>
    <row r="759">
      <c r="A759" s="88"/>
      <c r="B759" s="88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</row>
    <row r="760">
      <c r="A760" s="88"/>
      <c r="B760" s="88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</row>
    <row r="761">
      <c r="A761" s="88"/>
      <c r="B761" s="88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</row>
    <row r="762">
      <c r="A762" s="88"/>
      <c r="B762" s="88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</row>
    <row r="763">
      <c r="A763" s="88"/>
      <c r="B763" s="88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</row>
    <row r="764">
      <c r="A764" s="88"/>
      <c r="B764" s="88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</row>
    <row r="765">
      <c r="A765" s="88"/>
      <c r="B765" s="88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</row>
    <row r="766">
      <c r="A766" s="88"/>
      <c r="B766" s="88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</row>
    <row r="767">
      <c r="A767" s="88"/>
      <c r="B767" s="88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</row>
    <row r="768">
      <c r="A768" s="88"/>
      <c r="B768" s="88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</row>
    <row r="769">
      <c r="A769" s="88"/>
      <c r="B769" s="88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</row>
    <row r="770">
      <c r="A770" s="88"/>
      <c r="B770" s="88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</row>
    <row r="771">
      <c r="A771" s="88"/>
      <c r="B771" s="88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</row>
    <row r="772">
      <c r="A772" s="88"/>
      <c r="B772" s="88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</row>
    <row r="773">
      <c r="A773" s="88"/>
      <c r="B773" s="88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</row>
    <row r="774">
      <c r="A774" s="88"/>
      <c r="B774" s="88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</row>
    <row r="775">
      <c r="A775" s="88"/>
      <c r="B775" s="88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</row>
    <row r="776">
      <c r="A776" s="88"/>
      <c r="B776" s="88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</row>
    <row r="777">
      <c r="A777" s="88"/>
      <c r="B777" s="88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</row>
    <row r="778">
      <c r="A778" s="88"/>
      <c r="B778" s="88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</row>
    <row r="779">
      <c r="A779" s="88"/>
      <c r="B779" s="88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</row>
    <row r="780">
      <c r="A780" s="88"/>
      <c r="B780" s="88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</row>
    <row r="781">
      <c r="A781" s="88"/>
      <c r="B781" s="88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</row>
    <row r="782">
      <c r="A782" s="88"/>
      <c r="B782" s="88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</row>
    <row r="783">
      <c r="A783" s="88"/>
      <c r="B783" s="88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</row>
    <row r="784">
      <c r="A784" s="88"/>
      <c r="B784" s="88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</row>
    <row r="785">
      <c r="A785" s="88"/>
      <c r="B785" s="88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</row>
    <row r="786">
      <c r="A786" s="88"/>
      <c r="B786" s="88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</row>
    <row r="787">
      <c r="A787" s="88"/>
      <c r="B787" s="88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</row>
    <row r="788">
      <c r="A788" s="88"/>
      <c r="B788" s="88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</row>
    <row r="789">
      <c r="A789" s="88"/>
      <c r="B789" s="88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</row>
    <row r="790">
      <c r="A790" s="88"/>
      <c r="B790" s="88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</row>
    <row r="791">
      <c r="A791" s="88"/>
      <c r="B791" s="88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</row>
    <row r="792">
      <c r="A792" s="88"/>
      <c r="B792" s="88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</row>
    <row r="793">
      <c r="A793" s="88"/>
      <c r="B793" s="88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</row>
    <row r="794">
      <c r="A794" s="88"/>
      <c r="B794" s="88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</row>
    <row r="795">
      <c r="A795" s="88"/>
      <c r="B795" s="88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</row>
    <row r="796">
      <c r="A796" s="88"/>
      <c r="B796" s="88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</row>
    <row r="797">
      <c r="A797" s="88"/>
      <c r="B797" s="88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</row>
    <row r="798">
      <c r="A798" s="88"/>
      <c r="B798" s="88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</row>
    <row r="799">
      <c r="A799" s="88"/>
      <c r="B799" s="88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</row>
    <row r="800">
      <c r="A800" s="88"/>
      <c r="B800" s="88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</row>
    <row r="801">
      <c r="A801" s="88"/>
      <c r="B801" s="88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</row>
    <row r="802">
      <c r="A802" s="88"/>
      <c r="B802" s="88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</row>
    <row r="803">
      <c r="A803" s="88"/>
      <c r="B803" s="88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</row>
    <row r="804">
      <c r="A804" s="88"/>
      <c r="B804" s="88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</row>
    <row r="805">
      <c r="A805" s="88"/>
      <c r="B805" s="88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</row>
    <row r="806">
      <c r="A806" s="88"/>
      <c r="B806" s="88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</row>
    <row r="807">
      <c r="A807" s="88"/>
      <c r="B807" s="88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</row>
    <row r="808">
      <c r="A808" s="88"/>
      <c r="B808" s="88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</row>
    <row r="809">
      <c r="A809" s="88"/>
      <c r="B809" s="88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</row>
    <row r="810">
      <c r="A810" s="88"/>
      <c r="B810" s="88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</row>
    <row r="811">
      <c r="A811" s="88"/>
      <c r="B811" s="88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</row>
    <row r="812">
      <c r="A812" s="88"/>
      <c r="B812" s="88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</row>
    <row r="813">
      <c r="A813" s="88"/>
      <c r="B813" s="88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</row>
    <row r="814">
      <c r="A814" s="88"/>
      <c r="B814" s="88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</row>
    <row r="815">
      <c r="A815" s="88"/>
      <c r="B815" s="88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</row>
    <row r="816">
      <c r="A816" s="88"/>
      <c r="B816" s="88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</row>
    <row r="817">
      <c r="A817" s="88"/>
      <c r="B817" s="88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</row>
    <row r="818">
      <c r="A818" s="88"/>
      <c r="B818" s="88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</row>
    <row r="819">
      <c r="A819" s="88"/>
      <c r="B819" s="88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</row>
    <row r="820">
      <c r="A820" s="88"/>
      <c r="B820" s="88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</row>
    <row r="821">
      <c r="A821" s="88"/>
      <c r="B821" s="88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</row>
    <row r="822">
      <c r="A822" s="88"/>
      <c r="B822" s="88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</row>
    <row r="823">
      <c r="A823" s="88"/>
      <c r="B823" s="88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</row>
    <row r="824">
      <c r="A824" s="88"/>
      <c r="B824" s="88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</row>
    <row r="825">
      <c r="A825" s="88"/>
      <c r="B825" s="88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</row>
    <row r="826">
      <c r="A826" s="88"/>
      <c r="B826" s="88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</row>
    <row r="827">
      <c r="A827" s="88"/>
      <c r="B827" s="88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</row>
    <row r="828">
      <c r="A828" s="88"/>
      <c r="B828" s="88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</row>
    <row r="829">
      <c r="A829" s="88"/>
      <c r="B829" s="88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</row>
    <row r="830">
      <c r="A830" s="88"/>
      <c r="B830" s="88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</row>
    <row r="831">
      <c r="A831" s="88"/>
      <c r="B831" s="88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</row>
    <row r="832">
      <c r="A832" s="88"/>
      <c r="B832" s="88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</row>
    <row r="833">
      <c r="A833" s="88"/>
      <c r="B833" s="88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</row>
    <row r="834">
      <c r="A834" s="88"/>
      <c r="B834" s="88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</row>
    <row r="835">
      <c r="A835" s="88"/>
      <c r="B835" s="88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</row>
    <row r="836">
      <c r="A836" s="88"/>
      <c r="B836" s="88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</row>
    <row r="837">
      <c r="A837" s="88"/>
      <c r="B837" s="88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</row>
    <row r="838">
      <c r="A838" s="88"/>
      <c r="B838" s="88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</row>
    <row r="839">
      <c r="A839" s="88"/>
      <c r="B839" s="88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</row>
    <row r="840">
      <c r="A840" s="88"/>
      <c r="B840" s="88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</row>
    <row r="841">
      <c r="A841" s="88"/>
      <c r="B841" s="88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</row>
    <row r="842">
      <c r="A842" s="88"/>
      <c r="B842" s="88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</row>
    <row r="843">
      <c r="A843" s="88"/>
      <c r="B843" s="88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</row>
    <row r="844">
      <c r="A844" s="88"/>
      <c r="B844" s="88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</row>
    <row r="845">
      <c r="A845" s="88"/>
      <c r="B845" s="88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</row>
    <row r="846">
      <c r="A846" s="88"/>
      <c r="B846" s="88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</row>
    <row r="847">
      <c r="A847" s="88"/>
      <c r="B847" s="88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</row>
    <row r="848">
      <c r="A848" s="88"/>
      <c r="B848" s="88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</row>
    <row r="849">
      <c r="A849" s="88"/>
      <c r="B849" s="88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</row>
    <row r="850">
      <c r="A850" s="88"/>
      <c r="B850" s="88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</row>
    <row r="851">
      <c r="A851" s="88"/>
      <c r="B851" s="88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</row>
    <row r="852">
      <c r="A852" s="88"/>
      <c r="B852" s="88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</row>
    <row r="853">
      <c r="A853" s="88"/>
      <c r="B853" s="88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</row>
    <row r="854">
      <c r="A854" s="88"/>
      <c r="B854" s="88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</row>
    <row r="855">
      <c r="A855" s="88"/>
      <c r="B855" s="88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</row>
    <row r="856">
      <c r="A856" s="88"/>
      <c r="B856" s="88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</row>
    <row r="857">
      <c r="A857" s="88"/>
      <c r="B857" s="88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</row>
    <row r="858">
      <c r="A858" s="88"/>
      <c r="B858" s="88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</row>
    <row r="859">
      <c r="A859" s="88"/>
      <c r="B859" s="88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</row>
    <row r="860">
      <c r="A860" s="88"/>
      <c r="B860" s="88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</row>
    <row r="861">
      <c r="A861" s="88"/>
      <c r="B861" s="88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</row>
    <row r="862">
      <c r="A862" s="88"/>
      <c r="B862" s="88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</row>
    <row r="863">
      <c r="A863" s="88"/>
      <c r="B863" s="88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</row>
    <row r="864">
      <c r="A864" s="88"/>
      <c r="B864" s="88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</row>
    <row r="865">
      <c r="A865" s="88"/>
      <c r="B865" s="88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</row>
    <row r="866">
      <c r="A866" s="88"/>
      <c r="B866" s="88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</row>
    <row r="867">
      <c r="A867" s="88"/>
      <c r="B867" s="88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</row>
    <row r="868">
      <c r="A868" s="88"/>
      <c r="B868" s="88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</row>
    <row r="869">
      <c r="A869" s="88"/>
      <c r="B869" s="88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</row>
    <row r="870">
      <c r="A870" s="88"/>
      <c r="B870" s="88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</row>
    <row r="871">
      <c r="A871" s="88"/>
      <c r="B871" s="88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</row>
    <row r="872">
      <c r="A872" s="88"/>
      <c r="B872" s="88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</row>
    <row r="873">
      <c r="A873" s="88"/>
      <c r="B873" s="88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</row>
    <row r="874">
      <c r="A874" s="88"/>
      <c r="B874" s="88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</row>
    <row r="875">
      <c r="A875" s="88"/>
      <c r="B875" s="88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</row>
    <row r="876">
      <c r="A876" s="88"/>
      <c r="B876" s="88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</row>
    <row r="877">
      <c r="A877" s="88"/>
      <c r="B877" s="88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</row>
    <row r="878">
      <c r="A878" s="88"/>
      <c r="B878" s="88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</row>
    <row r="879">
      <c r="A879" s="88"/>
      <c r="B879" s="88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</row>
    <row r="880">
      <c r="A880" s="88"/>
      <c r="B880" s="88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</row>
    <row r="881">
      <c r="A881" s="88"/>
      <c r="B881" s="88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</row>
    <row r="882">
      <c r="A882" s="88"/>
      <c r="B882" s="88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</row>
    <row r="883">
      <c r="A883" s="88"/>
      <c r="B883" s="88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</row>
    <row r="884">
      <c r="A884" s="88"/>
      <c r="B884" s="88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</row>
    <row r="885">
      <c r="A885" s="88"/>
      <c r="B885" s="88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</row>
    <row r="886">
      <c r="A886" s="88"/>
      <c r="B886" s="88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</row>
    <row r="887">
      <c r="A887" s="88"/>
      <c r="B887" s="88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</row>
    <row r="888">
      <c r="A888" s="88"/>
      <c r="B888" s="88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</row>
    <row r="889">
      <c r="A889" s="88"/>
      <c r="B889" s="88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</row>
    <row r="890">
      <c r="A890" s="88"/>
      <c r="B890" s="88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</row>
    <row r="891">
      <c r="A891" s="88"/>
      <c r="B891" s="88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</row>
    <row r="892">
      <c r="A892" s="88"/>
      <c r="B892" s="88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</row>
    <row r="893">
      <c r="A893" s="88"/>
      <c r="B893" s="88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</row>
    <row r="894">
      <c r="A894" s="88"/>
      <c r="B894" s="88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</row>
    <row r="895">
      <c r="A895" s="88"/>
      <c r="B895" s="88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</row>
    <row r="896">
      <c r="A896" s="88"/>
      <c r="B896" s="88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</row>
    <row r="897">
      <c r="A897" s="88"/>
      <c r="B897" s="88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</row>
    <row r="898">
      <c r="A898" s="88"/>
      <c r="B898" s="88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</row>
    <row r="899">
      <c r="A899" s="88"/>
      <c r="B899" s="88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</row>
    <row r="900">
      <c r="A900" s="88"/>
      <c r="B900" s="88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</row>
    <row r="901">
      <c r="A901" s="88"/>
      <c r="B901" s="88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</row>
    <row r="902">
      <c r="A902" s="88"/>
      <c r="B902" s="88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</row>
    <row r="903">
      <c r="A903" s="88"/>
      <c r="B903" s="88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</row>
    <row r="904">
      <c r="A904" s="88"/>
      <c r="B904" s="88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</row>
    <row r="905">
      <c r="A905" s="88"/>
      <c r="B905" s="88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</row>
    <row r="906">
      <c r="A906" s="88"/>
      <c r="B906" s="88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</row>
    <row r="907">
      <c r="A907" s="88"/>
      <c r="B907" s="88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</row>
    <row r="908">
      <c r="A908" s="88"/>
      <c r="B908" s="88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</row>
    <row r="909">
      <c r="A909" s="88"/>
      <c r="B909" s="88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</row>
    <row r="910">
      <c r="A910" s="88"/>
      <c r="B910" s="88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</row>
    <row r="911">
      <c r="A911" s="88"/>
      <c r="B911" s="88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</row>
    <row r="912">
      <c r="A912" s="88"/>
      <c r="B912" s="88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</row>
    <row r="913">
      <c r="A913" s="88"/>
      <c r="B913" s="88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</row>
    <row r="914">
      <c r="A914" s="88"/>
      <c r="B914" s="88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</row>
    <row r="915">
      <c r="A915" s="88"/>
      <c r="B915" s="88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</row>
    <row r="916">
      <c r="A916" s="88"/>
      <c r="B916" s="88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</row>
    <row r="917">
      <c r="A917" s="88"/>
      <c r="B917" s="88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</row>
    <row r="918">
      <c r="A918" s="88"/>
      <c r="B918" s="88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</row>
    <row r="919">
      <c r="A919" s="88"/>
      <c r="B919" s="88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</row>
    <row r="920">
      <c r="A920" s="88"/>
      <c r="B920" s="88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</row>
    <row r="921">
      <c r="A921" s="88"/>
      <c r="B921" s="88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</row>
    <row r="922">
      <c r="A922" s="88"/>
      <c r="B922" s="88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</row>
    <row r="923">
      <c r="A923" s="88"/>
      <c r="B923" s="88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</row>
    <row r="924">
      <c r="A924" s="88"/>
      <c r="B924" s="88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</row>
    <row r="925">
      <c r="A925" s="88"/>
      <c r="B925" s="88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</row>
    <row r="926">
      <c r="A926" s="88"/>
      <c r="B926" s="88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</row>
    <row r="927">
      <c r="A927" s="88"/>
      <c r="B927" s="88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</row>
    <row r="928">
      <c r="A928" s="88"/>
      <c r="B928" s="88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</row>
    <row r="929">
      <c r="A929" s="88"/>
      <c r="B929" s="88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</row>
    <row r="930">
      <c r="A930" s="88"/>
      <c r="B930" s="88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</row>
    <row r="931">
      <c r="A931" s="88"/>
      <c r="B931" s="88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</row>
    <row r="932">
      <c r="A932" s="88"/>
      <c r="B932" s="88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</row>
    <row r="933">
      <c r="A933" s="88"/>
      <c r="B933" s="88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</row>
    <row r="934">
      <c r="A934" s="88"/>
      <c r="B934" s="88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</row>
    <row r="935">
      <c r="A935" s="88"/>
      <c r="B935" s="88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</row>
    <row r="936">
      <c r="A936" s="88"/>
      <c r="B936" s="88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</row>
    <row r="937">
      <c r="A937" s="88"/>
      <c r="B937" s="88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</row>
    <row r="938">
      <c r="A938" s="88"/>
      <c r="B938" s="88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</row>
    <row r="939">
      <c r="A939" s="88"/>
      <c r="B939" s="88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</row>
    <row r="940">
      <c r="A940" s="88"/>
      <c r="B940" s="88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</row>
    <row r="941">
      <c r="A941" s="88"/>
      <c r="B941" s="88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</row>
    <row r="942">
      <c r="A942" s="88"/>
      <c r="B942" s="88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</row>
    <row r="943">
      <c r="A943" s="88"/>
      <c r="B943" s="88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</row>
    <row r="944">
      <c r="A944" s="88"/>
      <c r="B944" s="88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</row>
    <row r="945">
      <c r="A945" s="88"/>
      <c r="B945" s="88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</row>
    <row r="946">
      <c r="A946" s="88"/>
      <c r="B946" s="88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</row>
    <row r="947">
      <c r="A947" s="88"/>
      <c r="B947" s="88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</row>
    <row r="948">
      <c r="A948" s="88"/>
      <c r="B948" s="88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</row>
    <row r="949">
      <c r="A949" s="88"/>
      <c r="B949" s="88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</row>
    <row r="950">
      <c r="A950" s="88"/>
      <c r="B950" s="88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</row>
    <row r="951">
      <c r="A951" s="88"/>
      <c r="B951" s="88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</row>
    <row r="952">
      <c r="A952" s="88"/>
      <c r="B952" s="88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</row>
    <row r="953">
      <c r="A953" s="88"/>
      <c r="B953" s="88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</row>
    <row r="954">
      <c r="A954" s="88"/>
      <c r="B954" s="88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</row>
    <row r="955">
      <c r="A955" s="88"/>
      <c r="B955" s="88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</row>
    <row r="956">
      <c r="A956" s="88"/>
      <c r="B956" s="88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</row>
    <row r="957">
      <c r="A957" s="88"/>
      <c r="B957" s="88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</row>
    <row r="958">
      <c r="A958" s="88"/>
      <c r="B958" s="88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</row>
    <row r="959">
      <c r="A959" s="88"/>
      <c r="B959" s="88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</row>
    <row r="960">
      <c r="A960" s="88"/>
      <c r="B960" s="88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</row>
    <row r="961">
      <c r="A961" s="88"/>
      <c r="B961" s="88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</row>
    <row r="962">
      <c r="A962" s="88"/>
      <c r="B962" s="88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</row>
    <row r="963">
      <c r="A963" s="88"/>
      <c r="B963" s="88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</row>
    <row r="964">
      <c r="A964" s="88"/>
      <c r="B964" s="88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</row>
    <row r="965">
      <c r="A965" s="88"/>
      <c r="B965" s="88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</row>
    <row r="966">
      <c r="A966" s="88"/>
      <c r="B966" s="88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</row>
    <row r="967">
      <c r="A967" s="88"/>
      <c r="B967" s="88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</row>
    <row r="968">
      <c r="A968" s="88"/>
      <c r="B968" s="88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</row>
    <row r="969">
      <c r="A969" s="88"/>
      <c r="B969" s="88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</row>
    <row r="970">
      <c r="A970" s="88"/>
      <c r="B970" s="88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</row>
    <row r="971">
      <c r="A971" s="88"/>
      <c r="B971" s="88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</row>
    <row r="972">
      <c r="A972" s="88"/>
      <c r="B972" s="88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</row>
    <row r="973">
      <c r="A973" s="88"/>
      <c r="B973" s="88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</row>
    <row r="974">
      <c r="A974" s="88"/>
      <c r="B974" s="88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</row>
    <row r="975">
      <c r="A975" s="88"/>
      <c r="B975" s="88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</row>
    <row r="976">
      <c r="A976" s="88"/>
      <c r="B976" s="88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</row>
    <row r="977">
      <c r="A977" s="88"/>
      <c r="B977" s="88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</row>
    <row r="978">
      <c r="A978" s="88"/>
      <c r="B978" s="88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</row>
    <row r="979">
      <c r="A979" s="88"/>
      <c r="B979" s="88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</row>
    <row r="980">
      <c r="A980" s="88"/>
      <c r="B980" s="88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</row>
    <row r="981">
      <c r="A981" s="88"/>
      <c r="B981" s="88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</row>
    <row r="982">
      <c r="A982" s="88"/>
      <c r="B982" s="88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</row>
    <row r="983">
      <c r="A983" s="88"/>
      <c r="B983" s="88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</row>
    <row r="984">
      <c r="A984" s="88"/>
      <c r="B984" s="88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</row>
    <row r="985">
      <c r="A985" s="88"/>
      <c r="B985" s="88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</row>
    <row r="986">
      <c r="A986" s="88"/>
      <c r="B986" s="88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</row>
    <row r="987">
      <c r="A987" s="88"/>
      <c r="B987" s="88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</row>
    <row r="988">
      <c r="A988" s="88"/>
      <c r="B988" s="88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</row>
    <row r="989">
      <c r="A989" s="88"/>
      <c r="B989" s="88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</row>
    <row r="990">
      <c r="A990" s="88"/>
      <c r="B990" s="88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</row>
    <row r="991">
      <c r="A991" s="88"/>
      <c r="B991" s="88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</row>
    <row r="992">
      <c r="A992" s="88"/>
      <c r="B992" s="88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</row>
    <row r="993">
      <c r="A993" s="88"/>
      <c r="B993" s="88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</row>
    <row r="994">
      <c r="A994" s="88"/>
      <c r="B994" s="88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</row>
    <row r="995">
      <c r="A995" s="88"/>
      <c r="B995" s="88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</row>
    <row r="996">
      <c r="A996" s="88"/>
      <c r="B996" s="88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</row>
    <row r="997">
      <c r="A997" s="88"/>
      <c r="B997" s="88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</row>
    <row r="998">
      <c r="A998" s="88"/>
      <c r="B998" s="88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</row>
    <row r="999">
      <c r="A999" s="88"/>
      <c r="B999" s="88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</row>
    <row r="1000">
      <c r="A1000" s="88"/>
      <c r="B1000" s="88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</row>
    <row r="1001">
      <c r="A1001" s="88"/>
      <c r="B1001" s="88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</row>
    <row r="1002">
      <c r="A1002" s="88"/>
      <c r="B1002" s="88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</row>
    <row r="1003">
      <c r="A1003" s="88"/>
      <c r="B1003" s="88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</row>
    <row r="1004">
      <c r="A1004" s="88"/>
      <c r="B1004" s="88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  <c r="AB1004" s="25"/>
      <c r="AC1004" s="25"/>
    </row>
    <row r="1005">
      <c r="A1005" s="88"/>
      <c r="B1005" s="88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  <c r="AB1005" s="25"/>
      <c r="AC1005" s="25"/>
    </row>
  </sheetData>
  <dataValidations>
    <dataValidation type="custom" allowBlank="1" showDropDown="1" sqref="B9:B20">
      <formula1>AND(ISNUMBER(B9),(NOT(OR(NOT(ISERROR(DATEVALUE(B9))), AND(ISNUMBER(B9), LEFT(CELL("format", B9))="D")))))</formula1>
    </dataValidation>
    <dataValidation type="list" allowBlank="1" sqref="E9:F20">
      <formula1>"No,Yes,N/A"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.63"/>
    <col customWidth="1" min="3" max="3" width="25.38"/>
    <col customWidth="1" min="4" max="4" width="27.5"/>
    <col customWidth="1" min="5" max="5" width="27.13"/>
  </cols>
  <sheetData>
    <row r="1">
      <c r="A1" s="5"/>
      <c r="B1" s="62" t="str">
        <f>CONCATENATE('0. Checklist'!D1, " ", '0. Checklist'!D2)</f>
        <v>9 IT Software Solutions for Business</v>
      </c>
      <c r="C1" s="89"/>
    </row>
    <row r="2" ht="19.5" customHeight="1">
      <c r="A2" s="98"/>
      <c r="B2" s="99" t="s">
        <v>31</v>
      </c>
      <c r="C2" s="100" t="s">
        <v>139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19.5" customHeight="1">
      <c r="A3" s="98"/>
      <c r="B3" s="99" t="s">
        <v>31</v>
      </c>
      <c r="C3" s="100" t="s">
        <v>140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19.5" customHeight="1">
      <c r="A4" s="98"/>
      <c r="B4" s="99" t="s">
        <v>31</v>
      </c>
      <c r="C4" s="100" t="s">
        <v>141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19.5" customHeight="1">
      <c r="A5" s="98"/>
      <c r="B5" s="98"/>
      <c r="C5" s="100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5"/>
      <c r="B6" s="5"/>
      <c r="C6" s="8"/>
      <c r="D6" s="8"/>
    </row>
    <row r="7" ht="22.5" customHeight="1">
      <c r="A7" s="101"/>
      <c r="B7" s="102" t="s">
        <v>8</v>
      </c>
      <c r="C7" s="102" t="s">
        <v>130</v>
      </c>
      <c r="D7" s="102" t="s">
        <v>142</v>
      </c>
      <c r="E7" s="102" t="s">
        <v>134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22.5" customHeight="1">
      <c r="A8" s="99"/>
      <c r="B8" s="15">
        <v>1.0</v>
      </c>
      <c r="C8" s="103" t="s">
        <v>52</v>
      </c>
      <c r="D8" s="93" t="s">
        <v>71</v>
      </c>
      <c r="E8" s="103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22.5" customHeight="1">
      <c r="A9" s="99"/>
      <c r="B9" s="15">
        <v>2.0</v>
      </c>
      <c r="C9" s="103" t="s">
        <v>55</v>
      </c>
      <c r="D9" s="93" t="s">
        <v>71</v>
      </c>
      <c r="E9" s="103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ht="22.5" customHeight="1">
      <c r="A10" s="99"/>
      <c r="B10" s="15">
        <v>3.0</v>
      </c>
      <c r="C10" s="103" t="s">
        <v>57</v>
      </c>
      <c r="D10" s="93" t="s">
        <v>71</v>
      </c>
      <c r="E10" s="103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22.5" customHeight="1">
      <c r="A11" s="99"/>
      <c r="B11" s="15">
        <v>4.0</v>
      </c>
      <c r="C11" s="103" t="s">
        <v>135</v>
      </c>
      <c r="D11" s="93" t="s">
        <v>72</v>
      </c>
      <c r="E11" s="103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22.5" customHeight="1">
      <c r="A12" s="99"/>
      <c r="B12" s="15">
        <v>5.0</v>
      </c>
      <c r="C12" s="103" t="s">
        <v>49</v>
      </c>
      <c r="D12" s="93" t="s">
        <v>71</v>
      </c>
      <c r="E12" s="103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22.5" customHeight="1">
      <c r="A13" s="99"/>
      <c r="B13" s="15">
        <v>6.0</v>
      </c>
      <c r="C13" s="103" t="s">
        <v>64</v>
      </c>
      <c r="D13" s="93" t="s">
        <v>72</v>
      </c>
      <c r="E13" s="103" t="s">
        <v>143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t="22.5" customHeight="1">
      <c r="A14" s="99"/>
      <c r="B14" s="15">
        <v>7.0</v>
      </c>
      <c r="C14" s="103" t="s">
        <v>59</v>
      </c>
      <c r="D14" s="93" t="s">
        <v>71</v>
      </c>
      <c r="E14" s="20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ht="22.5" customHeight="1">
      <c r="A15" s="99"/>
      <c r="B15" s="15">
        <v>8.0</v>
      </c>
      <c r="C15" s="103" t="s">
        <v>46</v>
      </c>
      <c r="D15" s="93" t="s">
        <v>71</v>
      </c>
      <c r="E15" s="20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ht="22.5" customHeight="1">
      <c r="A16" s="99"/>
      <c r="B16" s="15">
        <v>9.0</v>
      </c>
      <c r="C16" s="103" t="s">
        <v>43</v>
      </c>
      <c r="D16" s="93" t="s">
        <v>72</v>
      </c>
      <c r="E16" s="20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ht="22.5" customHeight="1">
      <c r="A17" s="99"/>
      <c r="B17" s="15">
        <v>10.0</v>
      </c>
      <c r="C17" s="103" t="s">
        <v>62</v>
      </c>
      <c r="D17" s="93" t="s">
        <v>72</v>
      </c>
      <c r="E17" s="103" t="s">
        <v>143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ht="22.5" customHeight="1">
      <c r="A18" s="99"/>
      <c r="B18" s="15">
        <v>11.0</v>
      </c>
      <c r="C18" s="103" t="s">
        <v>137</v>
      </c>
      <c r="D18" s="93" t="s">
        <v>72</v>
      </c>
      <c r="E18" s="103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5"/>
      <c r="B19" s="5"/>
    </row>
    <row r="20">
      <c r="A20" s="5"/>
      <c r="B20" s="5"/>
    </row>
    <row r="21">
      <c r="A21" s="5"/>
      <c r="B21" s="5"/>
    </row>
    <row r="22">
      <c r="A22" s="5"/>
      <c r="B22" s="5"/>
    </row>
    <row r="23">
      <c r="A23" s="5"/>
      <c r="B23" s="5"/>
    </row>
    <row r="24">
      <c r="A24" s="5"/>
      <c r="B24" s="5"/>
    </row>
    <row r="25">
      <c r="A25" s="5"/>
      <c r="B25" s="5"/>
    </row>
    <row r="26">
      <c r="A26" s="5"/>
      <c r="B26" s="5"/>
    </row>
    <row r="27">
      <c r="A27" s="5"/>
      <c r="B27" s="5"/>
    </row>
    <row r="28">
      <c r="A28" s="5"/>
      <c r="B28" s="5"/>
    </row>
    <row r="29">
      <c r="A29" s="5"/>
      <c r="B29" s="5"/>
    </row>
    <row r="30">
      <c r="A30" s="5"/>
      <c r="B30" s="5"/>
    </row>
    <row r="31">
      <c r="A31" s="5"/>
      <c r="B31" s="5"/>
    </row>
    <row r="32">
      <c r="A32" s="5"/>
      <c r="B32" s="5"/>
    </row>
    <row r="33">
      <c r="A33" s="5"/>
      <c r="B33" s="5"/>
    </row>
    <row r="34">
      <c r="A34" s="5"/>
      <c r="B34" s="5"/>
    </row>
    <row r="35">
      <c r="A35" s="5"/>
      <c r="B35" s="5"/>
    </row>
    <row r="36">
      <c r="A36" s="5"/>
      <c r="B36" s="5"/>
    </row>
    <row r="37">
      <c r="A37" s="5"/>
      <c r="B37" s="5"/>
    </row>
    <row r="38">
      <c r="A38" s="5"/>
      <c r="B38" s="5"/>
    </row>
    <row r="39">
      <c r="A39" s="5"/>
      <c r="B39" s="5"/>
    </row>
    <row r="40">
      <c r="A40" s="5"/>
      <c r="B40" s="5"/>
    </row>
    <row r="41">
      <c r="A41" s="5"/>
      <c r="B41" s="5"/>
    </row>
    <row r="42">
      <c r="A42" s="5"/>
      <c r="B42" s="5"/>
    </row>
    <row r="43">
      <c r="A43" s="5"/>
      <c r="B43" s="5"/>
    </row>
    <row r="44">
      <c r="A44" s="5"/>
      <c r="B44" s="5"/>
    </row>
    <row r="45">
      <c r="A45" s="5"/>
      <c r="B45" s="5"/>
    </row>
    <row r="46">
      <c r="A46" s="5"/>
      <c r="B46" s="5"/>
    </row>
    <row r="47">
      <c r="A47" s="5"/>
      <c r="B47" s="5"/>
    </row>
    <row r="48">
      <c r="A48" s="5"/>
      <c r="B48" s="5"/>
    </row>
    <row r="49">
      <c r="A49" s="5"/>
      <c r="B49" s="5"/>
    </row>
    <row r="50">
      <c r="A50" s="5"/>
      <c r="B50" s="5"/>
    </row>
    <row r="51">
      <c r="A51" s="5"/>
      <c r="B51" s="5"/>
    </row>
    <row r="52">
      <c r="A52" s="5"/>
      <c r="B52" s="5"/>
    </row>
    <row r="53">
      <c r="A53" s="5"/>
      <c r="B53" s="5"/>
    </row>
    <row r="54">
      <c r="A54" s="5"/>
      <c r="B54" s="5"/>
    </row>
    <row r="55">
      <c r="A55" s="5"/>
      <c r="B55" s="5"/>
    </row>
    <row r="56">
      <c r="A56" s="5"/>
      <c r="B56" s="5"/>
    </row>
    <row r="57">
      <c r="A57" s="5"/>
      <c r="B57" s="5"/>
    </row>
    <row r="58">
      <c r="A58" s="5"/>
      <c r="B58" s="5"/>
    </row>
    <row r="59">
      <c r="A59" s="5"/>
      <c r="B59" s="5"/>
    </row>
    <row r="60">
      <c r="A60" s="5"/>
      <c r="B60" s="5"/>
    </row>
    <row r="61">
      <c r="A61" s="5"/>
      <c r="B61" s="5"/>
    </row>
    <row r="62">
      <c r="A62" s="5"/>
      <c r="B62" s="5"/>
    </row>
    <row r="63">
      <c r="A63" s="5"/>
      <c r="B63" s="5"/>
    </row>
    <row r="64">
      <c r="A64" s="5"/>
      <c r="B64" s="5"/>
    </row>
    <row r="65">
      <c r="A65" s="5"/>
      <c r="B65" s="5"/>
    </row>
    <row r="66">
      <c r="A66" s="5"/>
      <c r="B66" s="5"/>
    </row>
    <row r="67">
      <c r="A67" s="5"/>
      <c r="B67" s="5"/>
    </row>
    <row r="68">
      <c r="A68" s="5"/>
      <c r="B68" s="5"/>
    </row>
    <row r="69">
      <c r="A69" s="5"/>
      <c r="B69" s="5"/>
    </row>
    <row r="70">
      <c r="A70" s="5"/>
      <c r="B70" s="5"/>
    </row>
    <row r="71">
      <c r="A71" s="5"/>
      <c r="B71" s="5"/>
    </row>
    <row r="72">
      <c r="A72" s="5"/>
      <c r="B72" s="5"/>
    </row>
    <row r="73">
      <c r="A73" s="5"/>
      <c r="B73" s="5"/>
    </row>
    <row r="74">
      <c r="A74" s="5"/>
      <c r="B74" s="5"/>
    </row>
    <row r="75">
      <c r="A75" s="5"/>
      <c r="B75" s="5"/>
    </row>
    <row r="76">
      <c r="A76" s="5"/>
      <c r="B76" s="5"/>
    </row>
    <row r="77">
      <c r="A77" s="5"/>
      <c r="B77" s="5"/>
    </row>
    <row r="78">
      <c r="A78" s="5"/>
      <c r="B78" s="5"/>
    </row>
    <row r="79">
      <c r="A79" s="5"/>
      <c r="B79" s="5"/>
    </row>
    <row r="80">
      <c r="A80" s="5"/>
      <c r="B80" s="5"/>
    </row>
    <row r="81">
      <c r="A81" s="5"/>
      <c r="B81" s="5"/>
    </row>
    <row r="82">
      <c r="A82" s="5"/>
      <c r="B82" s="5"/>
    </row>
    <row r="83">
      <c r="A83" s="5"/>
      <c r="B83" s="5"/>
    </row>
    <row r="84">
      <c r="A84" s="5"/>
      <c r="B84" s="5"/>
    </row>
    <row r="85">
      <c r="A85" s="5"/>
      <c r="B85" s="5"/>
    </row>
    <row r="86">
      <c r="A86" s="5"/>
      <c r="B86" s="5"/>
    </row>
    <row r="87">
      <c r="A87" s="5"/>
      <c r="B87" s="5"/>
    </row>
    <row r="88">
      <c r="A88" s="5"/>
      <c r="B88" s="5"/>
    </row>
    <row r="89">
      <c r="A89" s="5"/>
      <c r="B89" s="5"/>
    </row>
    <row r="90">
      <c r="A90" s="5"/>
      <c r="B90" s="5"/>
    </row>
    <row r="91">
      <c r="A91" s="5"/>
      <c r="B91" s="5"/>
    </row>
    <row r="92">
      <c r="A92" s="5"/>
      <c r="B92" s="5"/>
    </row>
    <row r="93">
      <c r="A93" s="5"/>
      <c r="B93" s="5"/>
    </row>
    <row r="94">
      <c r="A94" s="5"/>
      <c r="B94" s="5"/>
    </row>
    <row r="95">
      <c r="A95" s="5"/>
      <c r="B95" s="5"/>
    </row>
    <row r="96">
      <c r="A96" s="5"/>
      <c r="B96" s="5"/>
    </row>
    <row r="97">
      <c r="A97" s="5"/>
      <c r="B97" s="5"/>
    </row>
    <row r="98">
      <c r="A98" s="5"/>
      <c r="B98" s="5"/>
    </row>
    <row r="99">
      <c r="A99" s="5"/>
      <c r="B99" s="5"/>
    </row>
    <row r="100">
      <c r="A100" s="5"/>
      <c r="B100" s="5"/>
    </row>
    <row r="101">
      <c r="A101" s="5"/>
      <c r="B101" s="5"/>
    </row>
    <row r="102">
      <c r="A102" s="5"/>
      <c r="B102" s="5"/>
    </row>
    <row r="103">
      <c r="A103" s="5"/>
      <c r="B103" s="5"/>
    </row>
    <row r="104">
      <c r="A104" s="5"/>
      <c r="B104" s="5"/>
    </row>
    <row r="105">
      <c r="A105" s="5"/>
      <c r="B105" s="5"/>
    </row>
    <row r="106">
      <c r="A106" s="5"/>
      <c r="B106" s="5"/>
    </row>
    <row r="107">
      <c r="A107" s="5"/>
      <c r="B107" s="5"/>
    </row>
    <row r="108">
      <c r="A108" s="5"/>
      <c r="B108" s="5"/>
    </row>
    <row r="109">
      <c r="A109" s="5"/>
      <c r="B109" s="5"/>
    </row>
    <row r="110">
      <c r="A110" s="5"/>
      <c r="B110" s="5"/>
    </row>
    <row r="111">
      <c r="A111" s="5"/>
      <c r="B111" s="5"/>
    </row>
    <row r="112">
      <c r="A112" s="5"/>
      <c r="B112" s="5"/>
    </row>
    <row r="113">
      <c r="A113" s="5"/>
      <c r="B113" s="5"/>
    </row>
    <row r="114">
      <c r="A114" s="5"/>
      <c r="B114" s="5"/>
    </row>
    <row r="115">
      <c r="A115" s="5"/>
      <c r="B115" s="5"/>
    </row>
    <row r="116">
      <c r="A116" s="5"/>
      <c r="B116" s="5"/>
    </row>
    <row r="117">
      <c r="A117" s="5"/>
      <c r="B117" s="5"/>
    </row>
    <row r="118">
      <c r="A118" s="5"/>
      <c r="B118" s="5"/>
    </row>
    <row r="119">
      <c r="A119" s="5"/>
      <c r="B119" s="5"/>
    </row>
    <row r="120">
      <c r="A120" s="5"/>
      <c r="B120" s="5"/>
    </row>
    <row r="121">
      <c r="A121" s="5"/>
      <c r="B121" s="5"/>
    </row>
    <row r="122">
      <c r="A122" s="5"/>
      <c r="B122" s="5"/>
    </row>
    <row r="123">
      <c r="A123" s="5"/>
      <c r="B123" s="5"/>
    </row>
    <row r="124">
      <c r="A124" s="5"/>
      <c r="B124" s="5"/>
    </row>
    <row r="125">
      <c r="A125" s="5"/>
      <c r="B125" s="5"/>
    </row>
    <row r="126">
      <c r="A126" s="5"/>
      <c r="B126" s="5"/>
    </row>
    <row r="127">
      <c r="A127" s="5"/>
      <c r="B127" s="5"/>
    </row>
    <row r="128">
      <c r="A128" s="5"/>
      <c r="B128" s="5"/>
    </row>
    <row r="129">
      <c r="A129" s="5"/>
      <c r="B129" s="5"/>
    </row>
    <row r="130">
      <c r="A130" s="5"/>
      <c r="B130" s="5"/>
    </row>
    <row r="131">
      <c r="A131" s="5"/>
      <c r="B131" s="5"/>
    </row>
    <row r="132">
      <c r="A132" s="5"/>
      <c r="B132" s="5"/>
    </row>
    <row r="133">
      <c r="A133" s="5"/>
      <c r="B133" s="5"/>
    </row>
    <row r="134">
      <c r="A134" s="5"/>
      <c r="B134" s="5"/>
    </row>
    <row r="135">
      <c r="A135" s="5"/>
      <c r="B135" s="5"/>
    </row>
    <row r="136">
      <c r="A136" s="5"/>
      <c r="B136" s="5"/>
    </row>
    <row r="137">
      <c r="A137" s="5"/>
      <c r="B137" s="5"/>
    </row>
    <row r="138">
      <c r="A138" s="5"/>
      <c r="B138" s="5"/>
    </row>
    <row r="139">
      <c r="A139" s="5"/>
      <c r="B139" s="5"/>
    </row>
    <row r="140">
      <c r="A140" s="5"/>
      <c r="B140" s="5"/>
    </row>
    <row r="141">
      <c r="A141" s="5"/>
      <c r="B141" s="5"/>
    </row>
    <row r="142">
      <c r="A142" s="5"/>
      <c r="B142" s="5"/>
    </row>
    <row r="143">
      <c r="A143" s="5"/>
      <c r="B143" s="5"/>
    </row>
    <row r="144">
      <c r="A144" s="5"/>
      <c r="B144" s="5"/>
    </row>
    <row r="145">
      <c r="A145" s="5"/>
      <c r="B145" s="5"/>
    </row>
    <row r="146">
      <c r="A146" s="5"/>
      <c r="B146" s="5"/>
    </row>
    <row r="147">
      <c r="A147" s="5"/>
      <c r="B147" s="5"/>
    </row>
    <row r="148">
      <c r="A148" s="5"/>
      <c r="B148" s="5"/>
    </row>
    <row r="149">
      <c r="A149" s="5"/>
      <c r="B149" s="5"/>
    </row>
    <row r="150">
      <c r="A150" s="5"/>
      <c r="B150" s="5"/>
    </row>
    <row r="151">
      <c r="A151" s="5"/>
      <c r="B151" s="5"/>
    </row>
    <row r="152">
      <c r="A152" s="5"/>
      <c r="B152" s="5"/>
    </row>
    <row r="153">
      <c r="A153" s="5"/>
      <c r="B153" s="5"/>
    </row>
    <row r="154">
      <c r="A154" s="5"/>
      <c r="B154" s="5"/>
    </row>
    <row r="155">
      <c r="A155" s="5"/>
      <c r="B155" s="5"/>
    </row>
    <row r="156">
      <c r="A156" s="5"/>
      <c r="B156" s="5"/>
    </row>
    <row r="157">
      <c r="A157" s="5"/>
      <c r="B157" s="5"/>
    </row>
    <row r="158">
      <c r="A158" s="5"/>
      <c r="B158" s="5"/>
    </row>
    <row r="159">
      <c r="A159" s="5"/>
      <c r="B159" s="5"/>
    </row>
    <row r="160">
      <c r="A160" s="5"/>
      <c r="B160" s="5"/>
    </row>
    <row r="161">
      <c r="A161" s="5"/>
      <c r="B161" s="5"/>
    </row>
    <row r="162">
      <c r="A162" s="5"/>
      <c r="B162" s="5"/>
    </row>
    <row r="163">
      <c r="A163" s="5"/>
      <c r="B163" s="5"/>
    </row>
    <row r="164">
      <c r="A164" s="5"/>
      <c r="B164" s="5"/>
    </row>
    <row r="165">
      <c r="A165" s="5"/>
      <c r="B165" s="5"/>
    </row>
    <row r="166">
      <c r="A166" s="5"/>
      <c r="B166" s="5"/>
    </row>
    <row r="167">
      <c r="A167" s="5"/>
      <c r="B167" s="5"/>
    </row>
    <row r="168">
      <c r="A168" s="5"/>
      <c r="B168" s="5"/>
    </row>
    <row r="169">
      <c r="A169" s="5"/>
      <c r="B169" s="5"/>
    </row>
    <row r="170">
      <c r="A170" s="5"/>
      <c r="B170" s="5"/>
    </row>
    <row r="171">
      <c r="A171" s="5"/>
      <c r="B171" s="5"/>
    </row>
    <row r="172">
      <c r="A172" s="5"/>
      <c r="B172" s="5"/>
    </row>
    <row r="173">
      <c r="A173" s="5"/>
      <c r="B173" s="5"/>
    </row>
    <row r="174">
      <c r="A174" s="5"/>
      <c r="B174" s="5"/>
    </row>
    <row r="175">
      <c r="A175" s="5"/>
      <c r="B175" s="5"/>
    </row>
    <row r="176">
      <c r="A176" s="5"/>
      <c r="B176" s="5"/>
    </row>
    <row r="177">
      <c r="A177" s="5"/>
      <c r="B177" s="5"/>
    </row>
    <row r="178">
      <c r="A178" s="5"/>
      <c r="B178" s="5"/>
    </row>
    <row r="179">
      <c r="A179" s="5"/>
      <c r="B179" s="5"/>
    </row>
    <row r="180">
      <c r="A180" s="5"/>
      <c r="B180" s="5"/>
    </row>
    <row r="181">
      <c r="A181" s="5"/>
      <c r="B181" s="5"/>
    </row>
    <row r="182">
      <c r="A182" s="5"/>
      <c r="B182" s="5"/>
    </row>
    <row r="183">
      <c r="A183" s="5"/>
      <c r="B183" s="5"/>
    </row>
    <row r="184">
      <c r="A184" s="5"/>
      <c r="B184" s="5"/>
    </row>
    <row r="185">
      <c r="A185" s="5"/>
      <c r="B185" s="5"/>
    </row>
    <row r="186">
      <c r="A186" s="5"/>
      <c r="B186" s="5"/>
    </row>
    <row r="187">
      <c r="A187" s="5"/>
      <c r="B187" s="5"/>
    </row>
    <row r="188">
      <c r="A188" s="5"/>
      <c r="B188" s="5"/>
    </row>
    <row r="189">
      <c r="A189" s="5"/>
      <c r="B189" s="5"/>
    </row>
    <row r="190">
      <c r="A190" s="5"/>
      <c r="B190" s="5"/>
    </row>
    <row r="191">
      <c r="A191" s="5"/>
      <c r="B191" s="5"/>
    </row>
    <row r="192">
      <c r="A192" s="5"/>
      <c r="B192" s="5"/>
    </row>
    <row r="193">
      <c r="A193" s="5"/>
      <c r="B193" s="5"/>
    </row>
    <row r="194">
      <c r="A194" s="5"/>
      <c r="B194" s="5"/>
    </row>
    <row r="195">
      <c r="A195" s="5"/>
      <c r="B195" s="5"/>
    </row>
    <row r="196">
      <c r="A196" s="5"/>
      <c r="B196" s="5"/>
    </row>
    <row r="197">
      <c r="A197" s="5"/>
      <c r="B197" s="5"/>
    </row>
    <row r="198">
      <c r="A198" s="5"/>
      <c r="B198" s="5"/>
    </row>
    <row r="199">
      <c r="A199" s="5"/>
      <c r="B199" s="5"/>
    </row>
    <row r="200">
      <c r="A200" s="5"/>
      <c r="B200" s="5"/>
    </row>
    <row r="201">
      <c r="A201" s="5"/>
      <c r="B201" s="5"/>
    </row>
    <row r="202">
      <c r="A202" s="5"/>
      <c r="B202" s="5"/>
    </row>
    <row r="203">
      <c r="A203" s="5"/>
      <c r="B203" s="5"/>
    </row>
    <row r="204">
      <c r="A204" s="5"/>
      <c r="B204" s="5"/>
    </row>
    <row r="205">
      <c r="A205" s="5"/>
      <c r="B205" s="5"/>
    </row>
    <row r="206">
      <c r="A206" s="5"/>
      <c r="B206" s="5"/>
    </row>
    <row r="207">
      <c r="A207" s="5"/>
      <c r="B207" s="5"/>
    </row>
    <row r="208">
      <c r="A208" s="5"/>
      <c r="B208" s="5"/>
    </row>
    <row r="209">
      <c r="A209" s="5"/>
      <c r="B209" s="5"/>
    </row>
    <row r="210">
      <c r="A210" s="5"/>
      <c r="B210" s="5"/>
    </row>
    <row r="211">
      <c r="A211" s="5"/>
      <c r="B211" s="5"/>
    </row>
    <row r="212">
      <c r="A212" s="5"/>
      <c r="B212" s="5"/>
    </row>
    <row r="213">
      <c r="A213" s="5"/>
      <c r="B213" s="5"/>
    </row>
    <row r="214">
      <c r="A214" s="5"/>
      <c r="B214" s="5"/>
    </row>
    <row r="215">
      <c r="A215" s="5"/>
      <c r="B215" s="5"/>
    </row>
    <row r="216">
      <c r="A216" s="5"/>
      <c r="B216" s="5"/>
    </row>
    <row r="217">
      <c r="A217" s="5"/>
      <c r="B217" s="5"/>
    </row>
    <row r="218">
      <c r="A218" s="5"/>
      <c r="B218" s="5"/>
    </row>
    <row r="219">
      <c r="A219" s="5"/>
      <c r="B219" s="5"/>
    </row>
    <row r="220">
      <c r="A220" s="5"/>
      <c r="B220" s="5"/>
    </row>
    <row r="221">
      <c r="A221" s="5"/>
      <c r="B221" s="5"/>
    </row>
    <row r="222">
      <c r="A222" s="5"/>
      <c r="B222" s="5"/>
    </row>
    <row r="223">
      <c r="A223" s="5"/>
      <c r="B223" s="5"/>
    </row>
    <row r="224">
      <c r="A224" s="5"/>
      <c r="B224" s="5"/>
    </row>
    <row r="225">
      <c r="A225" s="5"/>
      <c r="B225" s="5"/>
    </row>
    <row r="226">
      <c r="A226" s="5"/>
      <c r="B226" s="5"/>
    </row>
    <row r="227">
      <c r="A227" s="5"/>
      <c r="B227" s="5"/>
    </row>
    <row r="228">
      <c r="A228" s="5"/>
      <c r="B228" s="5"/>
    </row>
    <row r="229">
      <c r="A229" s="5"/>
      <c r="B229" s="5"/>
    </row>
    <row r="230">
      <c r="A230" s="5"/>
      <c r="B230" s="5"/>
    </row>
    <row r="231">
      <c r="A231" s="5"/>
      <c r="B231" s="5"/>
    </row>
    <row r="232">
      <c r="A232" s="5"/>
      <c r="B232" s="5"/>
    </row>
    <row r="233">
      <c r="A233" s="5"/>
      <c r="B233" s="5"/>
    </row>
    <row r="234">
      <c r="A234" s="5"/>
      <c r="B234" s="5"/>
    </row>
    <row r="235">
      <c r="A235" s="5"/>
      <c r="B235" s="5"/>
    </row>
    <row r="236">
      <c r="A236" s="5"/>
      <c r="B236" s="5"/>
    </row>
    <row r="237">
      <c r="A237" s="5"/>
      <c r="B237" s="5"/>
    </row>
    <row r="238">
      <c r="A238" s="5"/>
      <c r="B238" s="5"/>
    </row>
    <row r="239">
      <c r="A239" s="5"/>
      <c r="B239" s="5"/>
    </row>
    <row r="240">
      <c r="A240" s="5"/>
      <c r="B240" s="5"/>
    </row>
    <row r="241">
      <c r="A241" s="5"/>
      <c r="B241" s="5"/>
    </row>
    <row r="242">
      <c r="A242" s="5"/>
      <c r="B242" s="5"/>
    </row>
    <row r="243">
      <c r="A243" s="5"/>
      <c r="B243" s="5"/>
    </row>
    <row r="244">
      <c r="A244" s="5"/>
      <c r="B244" s="5"/>
    </row>
    <row r="245">
      <c r="A245" s="5"/>
      <c r="B245" s="5"/>
    </row>
    <row r="246">
      <c r="A246" s="5"/>
      <c r="B246" s="5"/>
    </row>
    <row r="247">
      <c r="A247" s="5"/>
      <c r="B247" s="5"/>
    </row>
    <row r="248">
      <c r="A248" s="5"/>
      <c r="B248" s="5"/>
    </row>
    <row r="249">
      <c r="A249" s="5"/>
      <c r="B249" s="5"/>
    </row>
    <row r="250">
      <c r="A250" s="5"/>
      <c r="B250" s="5"/>
    </row>
    <row r="251">
      <c r="A251" s="5"/>
      <c r="B251" s="5"/>
    </row>
    <row r="252">
      <c r="A252" s="5"/>
      <c r="B252" s="5"/>
    </row>
    <row r="253">
      <c r="A253" s="5"/>
      <c r="B253" s="5"/>
    </row>
    <row r="254">
      <c r="A254" s="5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  <row r="496">
      <c r="A496" s="5"/>
      <c r="B496" s="5"/>
    </row>
    <row r="497">
      <c r="A497" s="5"/>
      <c r="B497" s="5"/>
    </row>
    <row r="498">
      <c r="A498" s="5"/>
      <c r="B498" s="5"/>
    </row>
    <row r="499">
      <c r="A499" s="5"/>
      <c r="B499" s="5"/>
    </row>
    <row r="500">
      <c r="A500" s="5"/>
      <c r="B500" s="5"/>
    </row>
    <row r="501">
      <c r="A501" s="5"/>
      <c r="B501" s="5"/>
    </row>
    <row r="502">
      <c r="A502" s="5"/>
      <c r="B502" s="5"/>
    </row>
    <row r="503">
      <c r="A503" s="5"/>
      <c r="B503" s="5"/>
    </row>
    <row r="504">
      <c r="A504" s="5"/>
      <c r="B504" s="5"/>
    </row>
    <row r="505">
      <c r="A505" s="5"/>
      <c r="B505" s="5"/>
    </row>
    <row r="506">
      <c r="A506" s="5"/>
      <c r="B506" s="5"/>
    </row>
    <row r="507">
      <c r="A507" s="5"/>
      <c r="B507" s="5"/>
    </row>
    <row r="508">
      <c r="A508" s="5"/>
      <c r="B508" s="5"/>
    </row>
    <row r="509">
      <c r="A509" s="5"/>
      <c r="B509" s="5"/>
    </row>
    <row r="510">
      <c r="A510" s="5"/>
      <c r="B510" s="5"/>
    </row>
    <row r="511">
      <c r="A511" s="5"/>
      <c r="B511" s="5"/>
    </row>
    <row r="512">
      <c r="A512" s="5"/>
      <c r="B512" s="5"/>
    </row>
    <row r="513">
      <c r="A513" s="5"/>
      <c r="B513" s="5"/>
    </row>
    <row r="514">
      <c r="A514" s="5"/>
      <c r="B514" s="5"/>
    </row>
    <row r="515">
      <c r="A515" s="5"/>
      <c r="B515" s="5"/>
    </row>
    <row r="516">
      <c r="A516" s="5"/>
      <c r="B516" s="5"/>
    </row>
    <row r="517">
      <c r="A517" s="5"/>
      <c r="B517" s="5"/>
    </row>
    <row r="518">
      <c r="A518" s="5"/>
      <c r="B518" s="5"/>
    </row>
    <row r="519">
      <c r="A519" s="5"/>
      <c r="B519" s="5"/>
    </row>
    <row r="520">
      <c r="A520" s="5"/>
      <c r="B520" s="5"/>
    </row>
    <row r="521">
      <c r="A521" s="5"/>
      <c r="B521" s="5"/>
    </row>
    <row r="522">
      <c r="A522" s="5"/>
      <c r="B522" s="5"/>
    </row>
    <row r="523">
      <c r="A523" s="5"/>
      <c r="B523" s="5"/>
    </row>
    <row r="524">
      <c r="A524" s="5"/>
      <c r="B524" s="5"/>
    </row>
    <row r="525">
      <c r="A525" s="5"/>
      <c r="B525" s="5"/>
    </row>
    <row r="526">
      <c r="A526" s="5"/>
      <c r="B526" s="5"/>
    </row>
    <row r="527">
      <c r="A527" s="5"/>
      <c r="B527" s="5"/>
    </row>
    <row r="528">
      <c r="A528" s="5"/>
      <c r="B528" s="5"/>
    </row>
    <row r="529">
      <c r="A529" s="5"/>
      <c r="B529" s="5"/>
    </row>
    <row r="530">
      <c r="A530" s="5"/>
      <c r="B530" s="5"/>
    </row>
    <row r="531">
      <c r="A531" s="5"/>
      <c r="B531" s="5"/>
    </row>
    <row r="532">
      <c r="A532" s="5"/>
      <c r="B532" s="5"/>
    </row>
    <row r="533">
      <c r="A533" s="5"/>
      <c r="B533" s="5"/>
    </row>
    <row r="534">
      <c r="A534" s="5"/>
      <c r="B534" s="5"/>
    </row>
    <row r="535">
      <c r="A535" s="5"/>
      <c r="B535" s="5"/>
    </row>
    <row r="536">
      <c r="A536" s="5"/>
      <c r="B536" s="5"/>
    </row>
    <row r="537">
      <c r="A537" s="5"/>
      <c r="B537" s="5"/>
    </row>
    <row r="538">
      <c r="A538" s="5"/>
      <c r="B538" s="5"/>
    </row>
    <row r="539">
      <c r="A539" s="5"/>
      <c r="B539" s="5"/>
    </row>
    <row r="540">
      <c r="A540" s="5"/>
      <c r="B540" s="5"/>
    </row>
    <row r="541">
      <c r="A541" s="5"/>
      <c r="B541" s="5"/>
    </row>
    <row r="542">
      <c r="A542" s="5"/>
      <c r="B542" s="5"/>
    </row>
    <row r="543">
      <c r="A543" s="5"/>
      <c r="B543" s="5"/>
    </row>
    <row r="544">
      <c r="A544" s="5"/>
      <c r="B544" s="5"/>
    </row>
    <row r="545">
      <c r="A545" s="5"/>
      <c r="B545" s="5"/>
    </row>
    <row r="546">
      <c r="A546" s="5"/>
      <c r="B546" s="5"/>
    </row>
    <row r="547">
      <c r="A547" s="5"/>
      <c r="B547" s="5"/>
    </row>
    <row r="548">
      <c r="A548" s="5"/>
      <c r="B548" s="5"/>
    </row>
    <row r="549">
      <c r="A549" s="5"/>
      <c r="B549" s="5"/>
    </row>
    <row r="550">
      <c r="A550" s="5"/>
      <c r="B550" s="5"/>
    </row>
    <row r="551">
      <c r="A551" s="5"/>
      <c r="B551" s="5"/>
    </row>
    <row r="552">
      <c r="A552" s="5"/>
      <c r="B552" s="5"/>
    </row>
    <row r="553">
      <c r="A553" s="5"/>
      <c r="B553" s="5"/>
    </row>
    <row r="554">
      <c r="A554" s="5"/>
      <c r="B554" s="5"/>
    </row>
    <row r="555">
      <c r="A555" s="5"/>
      <c r="B555" s="5"/>
    </row>
    <row r="556">
      <c r="A556" s="5"/>
      <c r="B556" s="5"/>
    </row>
    <row r="557">
      <c r="A557" s="5"/>
      <c r="B557" s="5"/>
    </row>
    <row r="558">
      <c r="A558" s="5"/>
      <c r="B558" s="5"/>
    </row>
    <row r="559">
      <c r="A559" s="5"/>
      <c r="B559" s="5"/>
    </row>
    <row r="560">
      <c r="A560" s="5"/>
      <c r="B560" s="5"/>
    </row>
    <row r="561">
      <c r="A561" s="5"/>
      <c r="B561" s="5"/>
    </row>
    <row r="562">
      <c r="A562" s="5"/>
      <c r="B562" s="5"/>
    </row>
    <row r="563">
      <c r="A563" s="5"/>
      <c r="B563" s="5"/>
    </row>
    <row r="564">
      <c r="A564" s="5"/>
      <c r="B564" s="5"/>
    </row>
    <row r="565">
      <c r="A565" s="5"/>
      <c r="B565" s="5"/>
    </row>
    <row r="566">
      <c r="A566" s="5"/>
      <c r="B566" s="5"/>
    </row>
    <row r="567">
      <c r="A567" s="5"/>
      <c r="B567" s="5"/>
    </row>
    <row r="568">
      <c r="A568" s="5"/>
      <c r="B568" s="5"/>
    </row>
    <row r="569">
      <c r="A569" s="5"/>
      <c r="B569" s="5"/>
    </row>
    <row r="570">
      <c r="A570" s="5"/>
      <c r="B570" s="5"/>
    </row>
    <row r="571">
      <c r="A571" s="5"/>
      <c r="B571" s="5"/>
    </row>
    <row r="572">
      <c r="A572" s="5"/>
      <c r="B572" s="5"/>
    </row>
    <row r="573">
      <c r="A573" s="5"/>
      <c r="B573" s="5"/>
    </row>
    <row r="574">
      <c r="A574" s="5"/>
      <c r="B574" s="5"/>
    </row>
    <row r="575">
      <c r="A575" s="5"/>
      <c r="B575" s="5"/>
    </row>
    <row r="576">
      <c r="A576" s="5"/>
      <c r="B576" s="5"/>
    </row>
    <row r="577">
      <c r="A577" s="5"/>
      <c r="B577" s="5"/>
    </row>
    <row r="578">
      <c r="A578" s="5"/>
      <c r="B578" s="5"/>
    </row>
    <row r="579">
      <c r="A579" s="5"/>
      <c r="B579" s="5"/>
    </row>
    <row r="580">
      <c r="A580" s="5"/>
      <c r="B580" s="5"/>
    </row>
    <row r="581">
      <c r="A581" s="5"/>
      <c r="B581" s="5"/>
    </row>
    <row r="582">
      <c r="A582" s="5"/>
      <c r="B582" s="5"/>
    </row>
    <row r="583">
      <c r="A583" s="5"/>
      <c r="B583" s="5"/>
    </row>
    <row r="584">
      <c r="A584" s="5"/>
      <c r="B584" s="5"/>
    </row>
    <row r="585">
      <c r="A585" s="5"/>
      <c r="B585" s="5"/>
    </row>
    <row r="586">
      <c r="A586" s="5"/>
      <c r="B586" s="5"/>
    </row>
    <row r="587">
      <c r="A587" s="5"/>
      <c r="B587" s="5"/>
    </row>
    <row r="588">
      <c r="A588" s="5"/>
      <c r="B588" s="5"/>
    </row>
    <row r="589">
      <c r="A589" s="5"/>
      <c r="B589" s="5"/>
    </row>
    <row r="590">
      <c r="A590" s="5"/>
      <c r="B590" s="5"/>
    </row>
    <row r="591">
      <c r="A591" s="5"/>
      <c r="B591" s="5"/>
    </row>
    <row r="592">
      <c r="A592" s="5"/>
      <c r="B592" s="5"/>
    </row>
    <row r="593">
      <c r="A593" s="5"/>
      <c r="B593" s="5"/>
    </row>
    <row r="594">
      <c r="A594" s="5"/>
      <c r="B594" s="5"/>
    </row>
    <row r="595">
      <c r="A595" s="5"/>
      <c r="B595" s="5"/>
    </row>
    <row r="596">
      <c r="A596" s="5"/>
      <c r="B596" s="5"/>
    </row>
    <row r="597">
      <c r="A597" s="5"/>
      <c r="B597" s="5"/>
    </row>
    <row r="598">
      <c r="A598" s="5"/>
      <c r="B598" s="5"/>
    </row>
    <row r="599">
      <c r="A599" s="5"/>
      <c r="B599" s="5"/>
    </row>
    <row r="600">
      <c r="A600" s="5"/>
      <c r="B600" s="5"/>
    </row>
    <row r="601">
      <c r="A601" s="5"/>
      <c r="B601" s="5"/>
    </row>
    <row r="602">
      <c r="A602" s="5"/>
      <c r="B602" s="5"/>
    </row>
    <row r="603">
      <c r="A603" s="5"/>
      <c r="B603" s="5"/>
    </row>
    <row r="604">
      <c r="A604" s="5"/>
      <c r="B604" s="5"/>
    </row>
    <row r="605">
      <c r="A605" s="5"/>
      <c r="B605" s="5"/>
    </row>
    <row r="606">
      <c r="A606" s="5"/>
      <c r="B606" s="5"/>
    </row>
    <row r="607">
      <c r="A607" s="5"/>
      <c r="B607" s="5"/>
    </row>
    <row r="608">
      <c r="A608" s="5"/>
      <c r="B608" s="5"/>
    </row>
    <row r="609">
      <c r="A609" s="5"/>
      <c r="B609" s="5"/>
    </row>
    <row r="610">
      <c r="A610" s="5"/>
      <c r="B610" s="5"/>
    </row>
    <row r="611">
      <c r="A611" s="5"/>
      <c r="B611" s="5"/>
    </row>
    <row r="612">
      <c r="A612" s="5"/>
      <c r="B612" s="5"/>
    </row>
    <row r="613">
      <c r="A613" s="5"/>
      <c r="B613" s="5"/>
    </row>
    <row r="614">
      <c r="A614" s="5"/>
      <c r="B614" s="5"/>
    </row>
    <row r="615">
      <c r="A615" s="5"/>
      <c r="B615" s="5"/>
    </row>
    <row r="616">
      <c r="A616" s="5"/>
      <c r="B616" s="5"/>
    </row>
    <row r="617">
      <c r="A617" s="5"/>
      <c r="B617" s="5"/>
    </row>
    <row r="618">
      <c r="A618" s="5"/>
      <c r="B618" s="5"/>
    </row>
    <row r="619">
      <c r="A619" s="5"/>
      <c r="B619" s="5"/>
    </row>
    <row r="620">
      <c r="A620" s="5"/>
      <c r="B620" s="5"/>
    </row>
    <row r="621">
      <c r="A621" s="5"/>
      <c r="B621" s="5"/>
    </row>
    <row r="622">
      <c r="A622" s="5"/>
      <c r="B622" s="5"/>
    </row>
    <row r="623">
      <c r="A623" s="5"/>
      <c r="B623" s="5"/>
    </row>
    <row r="624">
      <c r="A624" s="5"/>
      <c r="B624" s="5"/>
    </row>
    <row r="625">
      <c r="A625" s="5"/>
      <c r="B625" s="5"/>
    </row>
    <row r="626">
      <c r="A626" s="5"/>
      <c r="B626" s="5"/>
    </row>
    <row r="627">
      <c r="A627" s="5"/>
      <c r="B627" s="5"/>
    </row>
    <row r="628">
      <c r="A628" s="5"/>
      <c r="B628" s="5"/>
    </row>
    <row r="629">
      <c r="A629" s="5"/>
      <c r="B629" s="5"/>
    </row>
    <row r="630">
      <c r="A630" s="5"/>
      <c r="B630" s="5"/>
    </row>
    <row r="631">
      <c r="A631" s="5"/>
      <c r="B631" s="5"/>
    </row>
    <row r="632">
      <c r="A632" s="5"/>
      <c r="B632" s="5"/>
    </row>
    <row r="633">
      <c r="A633" s="5"/>
      <c r="B633" s="5"/>
    </row>
    <row r="634">
      <c r="A634" s="5"/>
      <c r="B634" s="5"/>
    </row>
    <row r="635">
      <c r="A635" s="5"/>
      <c r="B635" s="5"/>
    </row>
    <row r="636">
      <c r="A636" s="5"/>
      <c r="B636" s="5"/>
    </row>
    <row r="637">
      <c r="A637" s="5"/>
      <c r="B637" s="5"/>
    </row>
    <row r="638">
      <c r="A638" s="5"/>
      <c r="B638" s="5"/>
    </row>
    <row r="639">
      <c r="A639" s="5"/>
      <c r="B639" s="5"/>
    </row>
    <row r="640">
      <c r="A640" s="5"/>
      <c r="B640" s="5"/>
    </row>
    <row r="641">
      <c r="A641" s="5"/>
      <c r="B641" s="5"/>
    </row>
    <row r="642">
      <c r="A642" s="5"/>
      <c r="B642" s="5"/>
    </row>
    <row r="643">
      <c r="A643" s="5"/>
      <c r="B643" s="5"/>
    </row>
    <row r="644">
      <c r="A644" s="5"/>
      <c r="B644" s="5"/>
    </row>
    <row r="645">
      <c r="A645" s="5"/>
      <c r="B645" s="5"/>
    </row>
    <row r="646">
      <c r="A646" s="5"/>
      <c r="B646" s="5"/>
    </row>
    <row r="647">
      <c r="A647" s="5"/>
      <c r="B647" s="5"/>
    </row>
    <row r="648">
      <c r="A648" s="5"/>
      <c r="B648" s="5"/>
    </row>
    <row r="649">
      <c r="A649" s="5"/>
      <c r="B649" s="5"/>
    </row>
    <row r="650">
      <c r="A650" s="5"/>
      <c r="B650" s="5"/>
    </row>
    <row r="651">
      <c r="A651" s="5"/>
      <c r="B651" s="5"/>
    </row>
    <row r="652">
      <c r="A652" s="5"/>
      <c r="B652" s="5"/>
    </row>
    <row r="653">
      <c r="A653" s="5"/>
      <c r="B653" s="5"/>
    </row>
    <row r="654">
      <c r="A654" s="5"/>
      <c r="B654" s="5"/>
    </row>
    <row r="655">
      <c r="A655" s="5"/>
      <c r="B655" s="5"/>
    </row>
    <row r="656">
      <c r="A656" s="5"/>
      <c r="B656" s="5"/>
    </row>
    <row r="657">
      <c r="A657" s="5"/>
      <c r="B657" s="5"/>
    </row>
    <row r="658">
      <c r="A658" s="5"/>
      <c r="B658" s="5"/>
    </row>
    <row r="659">
      <c r="A659" s="5"/>
      <c r="B659" s="5"/>
    </row>
    <row r="660">
      <c r="A660" s="5"/>
      <c r="B660" s="5"/>
    </row>
    <row r="661">
      <c r="A661" s="5"/>
      <c r="B661" s="5"/>
    </row>
    <row r="662">
      <c r="A662" s="5"/>
      <c r="B662" s="5"/>
    </row>
    <row r="663">
      <c r="A663" s="5"/>
      <c r="B663" s="5"/>
    </row>
    <row r="664">
      <c r="A664" s="5"/>
      <c r="B664" s="5"/>
    </row>
    <row r="665">
      <c r="A665" s="5"/>
      <c r="B665" s="5"/>
    </row>
    <row r="666">
      <c r="A666" s="5"/>
      <c r="B666" s="5"/>
    </row>
    <row r="667">
      <c r="A667" s="5"/>
      <c r="B667" s="5"/>
    </row>
    <row r="668">
      <c r="A668" s="5"/>
      <c r="B668" s="5"/>
    </row>
    <row r="669">
      <c r="A669" s="5"/>
      <c r="B669" s="5"/>
    </row>
    <row r="670">
      <c r="A670" s="5"/>
      <c r="B670" s="5"/>
    </row>
    <row r="671">
      <c r="A671" s="5"/>
      <c r="B671" s="5"/>
    </row>
    <row r="672">
      <c r="A672" s="5"/>
      <c r="B672" s="5"/>
    </row>
    <row r="673">
      <c r="A673" s="5"/>
      <c r="B673" s="5"/>
    </row>
    <row r="674">
      <c r="A674" s="5"/>
      <c r="B674" s="5"/>
    </row>
    <row r="675">
      <c r="A675" s="5"/>
      <c r="B675" s="5"/>
    </row>
    <row r="676">
      <c r="A676" s="5"/>
      <c r="B676" s="5"/>
    </row>
    <row r="677">
      <c r="A677" s="5"/>
      <c r="B677" s="5"/>
    </row>
    <row r="678">
      <c r="A678" s="5"/>
      <c r="B678" s="5"/>
    </row>
    <row r="679">
      <c r="A679" s="5"/>
      <c r="B679" s="5"/>
    </row>
    <row r="680">
      <c r="A680" s="5"/>
      <c r="B680" s="5"/>
    </row>
    <row r="681">
      <c r="A681" s="5"/>
      <c r="B681" s="5"/>
    </row>
    <row r="682">
      <c r="A682" s="5"/>
      <c r="B682" s="5"/>
    </row>
    <row r="683">
      <c r="A683" s="5"/>
      <c r="B683" s="5"/>
    </row>
    <row r="684">
      <c r="A684" s="5"/>
      <c r="B684" s="5"/>
    </row>
    <row r="685">
      <c r="A685" s="5"/>
      <c r="B685" s="5"/>
    </row>
    <row r="686">
      <c r="A686" s="5"/>
      <c r="B686" s="5"/>
    </row>
    <row r="687">
      <c r="A687" s="5"/>
      <c r="B687" s="5"/>
    </row>
    <row r="688">
      <c r="A688" s="5"/>
      <c r="B688" s="5"/>
    </row>
    <row r="689">
      <c r="A689" s="5"/>
      <c r="B689" s="5"/>
    </row>
    <row r="690">
      <c r="A690" s="5"/>
      <c r="B690" s="5"/>
    </row>
    <row r="691">
      <c r="A691" s="5"/>
      <c r="B691" s="5"/>
    </row>
    <row r="692">
      <c r="A692" s="5"/>
      <c r="B692" s="5"/>
    </row>
    <row r="693">
      <c r="A693" s="5"/>
      <c r="B693" s="5"/>
    </row>
    <row r="694">
      <c r="A694" s="5"/>
      <c r="B694" s="5"/>
    </row>
    <row r="695">
      <c r="A695" s="5"/>
      <c r="B695" s="5"/>
    </row>
    <row r="696">
      <c r="A696" s="5"/>
      <c r="B696" s="5"/>
    </row>
    <row r="697">
      <c r="A697" s="5"/>
      <c r="B697" s="5"/>
    </row>
    <row r="698">
      <c r="A698" s="5"/>
      <c r="B698" s="5"/>
    </row>
    <row r="699">
      <c r="A699" s="5"/>
      <c r="B699" s="5"/>
    </row>
    <row r="700">
      <c r="A700" s="5"/>
      <c r="B700" s="5"/>
    </row>
    <row r="701">
      <c r="A701" s="5"/>
      <c r="B701" s="5"/>
    </row>
    <row r="702">
      <c r="A702" s="5"/>
      <c r="B702" s="5"/>
    </row>
    <row r="703">
      <c r="A703" s="5"/>
      <c r="B703" s="5"/>
    </row>
    <row r="704">
      <c r="A704" s="5"/>
      <c r="B704" s="5"/>
    </row>
    <row r="705">
      <c r="A705" s="5"/>
      <c r="B705" s="5"/>
    </row>
    <row r="706">
      <c r="A706" s="5"/>
      <c r="B706" s="5"/>
    </row>
    <row r="707">
      <c r="A707" s="5"/>
      <c r="B707" s="5"/>
    </row>
    <row r="708">
      <c r="A708" s="5"/>
      <c r="B708" s="5"/>
    </row>
    <row r="709">
      <c r="A709" s="5"/>
      <c r="B709" s="5"/>
    </row>
    <row r="710">
      <c r="A710" s="5"/>
      <c r="B710" s="5"/>
    </row>
    <row r="711">
      <c r="A711" s="5"/>
      <c r="B711" s="5"/>
    </row>
    <row r="712">
      <c r="A712" s="5"/>
      <c r="B712" s="5"/>
    </row>
    <row r="713">
      <c r="A713" s="5"/>
      <c r="B713" s="5"/>
    </row>
    <row r="714">
      <c r="A714" s="5"/>
      <c r="B714" s="5"/>
    </row>
    <row r="715">
      <c r="A715" s="5"/>
      <c r="B715" s="5"/>
    </row>
    <row r="716">
      <c r="A716" s="5"/>
      <c r="B716" s="5"/>
    </row>
    <row r="717">
      <c r="A717" s="5"/>
      <c r="B717" s="5"/>
    </row>
    <row r="718">
      <c r="A718" s="5"/>
      <c r="B718" s="5"/>
    </row>
    <row r="719">
      <c r="A719" s="5"/>
      <c r="B719" s="5"/>
    </row>
    <row r="720">
      <c r="A720" s="5"/>
      <c r="B720" s="5"/>
    </row>
    <row r="721">
      <c r="A721" s="5"/>
      <c r="B721" s="5"/>
    </row>
    <row r="722">
      <c r="A722" s="5"/>
      <c r="B722" s="5"/>
    </row>
    <row r="723">
      <c r="A723" s="5"/>
      <c r="B723" s="5"/>
    </row>
    <row r="724">
      <c r="A724" s="5"/>
      <c r="B724" s="5"/>
    </row>
    <row r="725">
      <c r="A725" s="5"/>
      <c r="B725" s="5"/>
    </row>
    <row r="726">
      <c r="A726" s="5"/>
      <c r="B726" s="5"/>
    </row>
    <row r="727">
      <c r="A727" s="5"/>
      <c r="B727" s="5"/>
    </row>
    <row r="728">
      <c r="A728" s="5"/>
      <c r="B728" s="5"/>
    </row>
    <row r="729">
      <c r="A729" s="5"/>
      <c r="B729" s="5"/>
    </row>
    <row r="730">
      <c r="A730" s="5"/>
      <c r="B730" s="5"/>
    </row>
    <row r="731">
      <c r="A731" s="5"/>
      <c r="B731" s="5"/>
    </row>
    <row r="732">
      <c r="A732" s="5"/>
      <c r="B732" s="5"/>
    </row>
    <row r="733">
      <c r="A733" s="5"/>
      <c r="B733" s="5"/>
    </row>
    <row r="734">
      <c r="A734" s="5"/>
      <c r="B734" s="5"/>
    </row>
    <row r="735">
      <c r="A735" s="5"/>
      <c r="B735" s="5"/>
    </row>
    <row r="736">
      <c r="A736" s="5"/>
      <c r="B736" s="5"/>
    </row>
    <row r="737">
      <c r="A737" s="5"/>
      <c r="B737" s="5"/>
    </row>
    <row r="738">
      <c r="A738" s="5"/>
      <c r="B738" s="5"/>
    </row>
    <row r="739">
      <c r="A739" s="5"/>
      <c r="B739" s="5"/>
    </row>
    <row r="740">
      <c r="A740" s="5"/>
      <c r="B740" s="5"/>
    </row>
    <row r="741">
      <c r="A741" s="5"/>
      <c r="B741" s="5"/>
    </row>
    <row r="742">
      <c r="A742" s="5"/>
      <c r="B742" s="5"/>
    </row>
    <row r="743">
      <c r="A743" s="5"/>
      <c r="B743" s="5"/>
    </row>
    <row r="744">
      <c r="A744" s="5"/>
      <c r="B744" s="5"/>
    </row>
    <row r="745">
      <c r="A745" s="5"/>
      <c r="B745" s="5"/>
    </row>
    <row r="746">
      <c r="A746" s="5"/>
      <c r="B746" s="5"/>
    </row>
    <row r="747">
      <c r="A747" s="5"/>
      <c r="B747" s="5"/>
    </row>
    <row r="748">
      <c r="A748" s="5"/>
      <c r="B748" s="5"/>
    </row>
    <row r="749">
      <c r="A749" s="5"/>
      <c r="B749" s="5"/>
    </row>
    <row r="750">
      <c r="A750" s="5"/>
      <c r="B750" s="5"/>
    </row>
    <row r="751">
      <c r="A751" s="5"/>
      <c r="B751" s="5"/>
    </row>
    <row r="752">
      <c r="A752" s="5"/>
      <c r="B752" s="5"/>
    </row>
    <row r="753">
      <c r="A753" s="5"/>
      <c r="B753" s="5"/>
    </row>
    <row r="754">
      <c r="A754" s="5"/>
      <c r="B754" s="5"/>
    </row>
    <row r="755">
      <c r="A755" s="5"/>
      <c r="B755" s="5"/>
    </row>
    <row r="756">
      <c r="A756" s="5"/>
      <c r="B756" s="5"/>
    </row>
    <row r="757">
      <c r="A757" s="5"/>
      <c r="B757" s="5"/>
    </row>
    <row r="758">
      <c r="A758" s="5"/>
      <c r="B758" s="5"/>
    </row>
    <row r="759">
      <c r="A759" s="5"/>
      <c r="B759" s="5"/>
    </row>
    <row r="760">
      <c r="A760" s="5"/>
      <c r="B760" s="5"/>
    </row>
    <row r="761">
      <c r="A761" s="5"/>
      <c r="B761" s="5"/>
    </row>
    <row r="762">
      <c r="A762" s="5"/>
      <c r="B762" s="5"/>
    </row>
    <row r="763">
      <c r="A763" s="5"/>
      <c r="B763" s="5"/>
    </row>
    <row r="764">
      <c r="A764" s="5"/>
      <c r="B764" s="5"/>
    </row>
    <row r="765">
      <c r="A765" s="5"/>
      <c r="B765" s="5"/>
    </row>
    <row r="766">
      <c r="A766" s="5"/>
      <c r="B766" s="5"/>
    </row>
    <row r="767">
      <c r="A767" s="5"/>
      <c r="B767" s="5"/>
    </row>
    <row r="768">
      <c r="A768" s="5"/>
      <c r="B768" s="5"/>
    </row>
    <row r="769">
      <c r="A769" s="5"/>
      <c r="B769" s="5"/>
    </row>
    <row r="770">
      <c r="A770" s="5"/>
      <c r="B770" s="5"/>
    </row>
    <row r="771">
      <c r="A771" s="5"/>
      <c r="B771" s="5"/>
    </row>
    <row r="772">
      <c r="A772" s="5"/>
      <c r="B772" s="5"/>
    </row>
    <row r="773">
      <c r="A773" s="5"/>
      <c r="B773" s="5"/>
    </row>
    <row r="774">
      <c r="A774" s="5"/>
      <c r="B774" s="5"/>
    </row>
    <row r="775">
      <c r="A775" s="5"/>
      <c r="B775" s="5"/>
    </row>
    <row r="776">
      <c r="A776" s="5"/>
      <c r="B776" s="5"/>
    </row>
    <row r="777">
      <c r="A777" s="5"/>
      <c r="B777" s="5"/>
    </row>
    <row r="778">
      <c r="A778" s="5"/>
      <c r="B778" s="5"/>
    </row>
    <row r="779">
      <c r="A779" s="5"/>
      <c r="B779" s="5"/>
    </row>
    <row r="780">
      <c r="A780" s="5"/>
      <c r="B780" s="5"/>
    </row>
    <row r="781">
      <c r="A781" s="5"/>
      <c r="B781" s="5"/>
    </row>
    <row r="782">
      <c r="A782" s="5"/>
      <c r="B782" s="5"/>
    </row>
    <row r="783">
      <c r="A783" s="5"/>
      <c r="B783" s="5"/>
    </row>
    <row r="784">
      <c r="A784" s="5"/>
      <c r="B784" s="5"/>
    </row>
    <row r="785">
      <c r="A785" s="5"/>
      <c r="B785" s="5"/>
    </row>
    <row r="786">
      <c r="A786" s="5"/>
      <c r="B786" s="5"/>
    </row>
    <row r="787">
      <c r="A787" s="5"/>
      <c r="B787" s="5"/>
    </row>
    <row r="788">
      <c r="A788" s="5"/>
      <c r="B788" s="5"/>
    </row>
    <row r="789">
      <c r="A789" s="5"/>
      <c r="B789" s="5"/>
    </row>
    <row r="790">
      <c r="A790" s="5"/>
      <c r="B790" s="5"/>
    </row>
    <row r="791">
      <c r="A791" s="5"/>
      <c r="B791" s="5"/>
    </row>
    <row r="792">
      <c r="A792" s="5"/>
      <c r="B792" s="5"/>
    </row>
    <row r="793">
      <c r="A793" s="5"/>
      <c r="B793" s="5"/>
    </row>
    <row r="794">
      <c r="A794" s="5"/>
      <c r="B794" s="5"/>
    </row>
    <row r="795">
      <c r="A795" s="5"/>
      <c r="B795" s="5"/>
    </row>
    <row r="796">
      <c r="A796" s="5"/>
      <c r="B796" s="5"/>
    </row>
    <row r="797">
      <c r="A797" s="5"/>
      <c r="B797" s="5"/>
    </row>
    <row r="798">
      <c r="A798" s="5"/>
      <c r="B798" s="5"/>
    </row>
    <row r="799">
      <c r="A799" s="5"/>
      <c r="B799" s="5"/>
    </row>
    <row r="800">
      <c r="A800" s="5"/>
      <c r="B800" s="5"/>
    </row>
    <row r="801">
      <c r="A801" s="5"/>
      <c r="B801" s="5"/>
    </row>
    <row r="802">
      <c r="A802" s="5"/>
      <c r="B802" s="5"/>
    </row>
    <row r="803">
      <c r="A803" s="5"/>
      <c r="B803" s="5"/>
    </row>
    <row r="804">
      <c r="A804" s="5"/>
      <c r="B804" s="5"/>
    </row>
    <row r="805">
      <c r="A805" s="5"/>
      <c r="B805" s="5"/>
    </row>
    <row r="806">
      <c r="A806" s="5"/>
      <c r="B806" s="5"/>
    </row>
    <row r="807">
      <c r="A807" s="5"/>
      <c r="B807" s="5"/>
    </row>
    <row r="808">
      <c r="A808" s="5"/>
      <c r="B808" s="5"/>
    </row>
    <row r="809">
      <c r="A809" s="5"/>
      <c r="B809" s="5"/>
    </row>
    <row r="810">
      <c r="A810" s="5"/>
      <c r="B810" s="5"/>
    </row>
    <row r="811">
      <c r="A811" s="5"/>
      <c r="B811" s="5"/>
    </row>
    <row r="812">
      <c r="A812" s="5"/>
      <c r="B812" s="5"/>
    </row>
    <row r="813">
      <c r="A813" s="5"/>
      <c r="B813" s="5"/>
    </row>
    <row r="814">
      <c r="A814" s="5"/>
      <c r="B814" s="5"/>
    </row>
    <row r="815">
      <c r="A815" s="5"/>
      <c r="B815" s="5"/>
    </row>
    <row r="816">
      <c r="A816" s="5"/>
      <c r="B816" s="5"/>
    </row>
    <row r="817">
      <c r="A817" s="5"/>
      <c r="B817" s="5"/>
    </row>
    <row r="818">
      <c r="A818" s="5"/>
      <c r="B818" s="5"/>
    </row>
    <row r="819">
      <c r="A819" s="5"/>
      <c r="B819" s="5"/>
    </row>
    <row r="820">
      <c r="A820" s="5"/>
      <c r="B820" s="5"/>
    </row>
    <row r="821">
      <c r="A821" s="5"/>
      <c r="B821" s="5"/>
    </row>
    <row r="822">
      <c r="A822" s="5"/>
      <c r="B822" s="5"/>
    </row>
    <row r="823">
      <c r="A823" s="5"/>
      <c r="B823" s="5"/>
    </row>
    <row r="824">
      <c r="A824" s="5"/>
      <c r="B824" s="5"/>
    </row>
    <row r="825">
      <c r="A825" s="5"/>
      <c r="B825" s="5"/>
    </row>
    <row r="826">
      <c r="A826" s="5"/>
      <c r="B826" s="5"/>
    </row>
    <row r="827">
      <c r="A827" s="5"/>
      <c r="B827" s="5"/>
    </row>
    <row r="828">
      <c r="A828" s="5"/>
      <c r="B828" s="5"/>
    </row>
    <row r="829">
      <c r="A829" s="5"/>
      <c r="B829" s="5"/>
    </row>
    <row r="830">
      <c r="A830" s="5"/>
      <c r="B830" s="5"/>
    </row>
    <row r="831">
      <c r="A831" s="5"/>
      <c r="B831" s="5"/>
    </row>
    <row r="832">
      <c r="A832" s="5"/>
      <c r="B832" s="5"/>
    </row>
    <row r="833">
      <c r="A833" s="5"/>
      <c r="B833" s="5"/>
    </row>
    <row r="834">
      <c r="A834" s="5"/>
      <c r="B834" s="5"/>
    </row>
    <row r="835">
      <c r="A835" s="5"/>
      <c r="B835" s="5"/>
    </row>
    <row r="836">
      <c r="A836" s="5"/>
      <c r="B836" s="5"/>
    </row>
    <row r="837">
      <c r="A837" s="5"/>
      <c r="B837" s="5"/>
    </row>
    <row r="838">
      <c r="A838" s="5"/>
      <c r="B838" s="5"/>
    </row>
    <row r="839">
      <c r="A839" s="5"/>
      <c r="B839" s="5"/>
    </row>
    <row r="840">
      <c r="A840" s="5"/>
      <c r="B840" s="5"/>
    </row>
    <row r="841">
      <c r="A841" s="5"/>
      <c r="B841" s="5"/>
    </row>
    <row r="842">
      <c r="A842" s="5"/>
      <c r="B842" s="5"/>
    </row>
    <row r="843">
      <c r="A843" s="5"/>
      <c r="B843" s="5"/>
    </row>
    <row r="844">
      <c r="A844" s="5"/>
      <c r="B844" s="5"/>
    </row>
    <row r="845">
      <c r="A845" s="5"/>
      <c r="B845" s="5"/>
    </row>
    <row r="846">
      <c r="A846" s="5"/>
      <c r="B846" s="5"/>
    </row>
    <row r="847">
      <c r="A847" s="5"/>
      <c r="B847" s="5"/>
    </row>
    <row r="848">
      <c r="A848" s="5"/>
      <c r="B848" s="5"/>
    </row>
    <row r="849">
      <c r="A849" s="5"/>
      <c r="B849" s="5"/>
    </row>
    <row r="850">
      <c r="A850" s="5"/>
      <c r="B850" s="5"/>
    </row>
    <row r="851">
      <c r="A851" s="5"/>
      <c r="B851" s="5"/>
    </row>
    <row r="852">
      <c r="A852" s="5"/>
      <c r="B852" s="5"/>
    </row>
    <row r="853">
      <c r="A853" s="5"/>
      <c r="B853" s="5"/>
    </row>
    <row r="854">
      <c r="A854" s="5"/>
      <c r="B854" s="5"/>
    </row>
    <row r="855">
      <c r="A855" s="5"/>
      <c r="B855" s="5"/>
    </row>
    <row r="856">
      <c r="A856" s="5"/>
      <c r="B856" s="5"/>
    </row>
    <row r="857">
      <c r="A857" s="5"/>
      <c r="B857" s="5"/>
    </row>
    <row r="858">
      <c r="A858" s="5"/>
      <c r="B858" s="5"/>
    </row>
    <row r="859">
      <c r="A859" s="5"/>
      <c r="B859" s="5"/>
    </row>
    <row r="860">
      <c r="A860" s="5"/>
      <c r="B860" s="5"/>
    </row>
    <row r="861">
      <c r="A861" s="5"/>
      <c r="B861" s="5"/>
    </row>
    <row r="862">
      <c r="A862" s="5"/>
      <c r="B862" s="5"/>
    </row>
    <row r="863">
      <c r="A863" s="5"/>
      <c r="B863" s="5"/>
    </row>
    <row r="864">
      <c r="A864" s="5"/>
      <c r="B864" s="5"/>
    </row>
    <row r="865">
      <c r="A865" s="5"/>
      <c r="B865" s="5"/>
    </row>
    <row r="866">
      <c r="A866" s="5"/>
      <c r="B866" s="5"/>
    </row>
    <row r="867">
      <c r="A867" s="5"/>
      <c r="B867" s="5"/>
    </row>
    <row r="868">
      <c r="A868" s="5"/>
      <c r="B868" s="5"/>
    </row>
    <row r="869">
      <c r="A869" s="5"/>
      <c r="B869" s="5"/>
    </row>
    <row r="870">
      <c r="A870" s="5"/>
      <c r="B870" s="5"/>
    </row>
    <row r="871">
      <c r="A871" s="5"/>
      <c r="B871" s="5"/>
    </row>
    <row r="872">
      <c r="A872" s="5"/>
      <c r="B872" s="5"/>
    </row>
    <row r="873">
      <c r="A873" s="5"/>
      <c r="B873" s="5"/>
    </row>
    <row r="874">
      <c r="A874" s="5"/>
      <c r="B874" s="5"/>
    </row>
    <row r="875">
      <c r="A875" s="5"/>
      <c r="B875" s="5"/>
    </row>
    <row r="876">
      <c r="A876" s="5"/>
      <c r="B876" s="5"/>
    </row>
    <row r="877">
      <c r="A877" s="5"/>
      <c r="B877" s="5"/>
    </row>
    <row r="878">
      <c r="A878" s="5"/>
      <c r="B878" s="5"/>
    </row>
    <row r="879">
      <c r="A879" s="5"/>
      <c r="B879" s="5"/>
    </row>
    <row r="880">
      <c r="A880" s="5"/>
      <c r="B880" s="5"/>
    </row>
    <row r="881">
      <c r="A881" s="5"/>
      <c r="B881" s="5"/>
    </row>
    <row r="882">
      <c r="A882" s="5"/>
      <c r="B882" s="5"/>
    </row>
    <row r="883">
      <c r="A883" s="5"/>
      <c r="B883" s="5"/>
    </row>
    <row r="884">
      <c r="A884" s="5"/>
      <c r="B884" s="5"/>
    </row>
    <row r="885">
      <c r="A885" s="5"/>
      <c r="B885" s="5"/>
    </row>
    <row r="886">
      <c r="A886" s="5"/>
      <c r="B886" s="5"/>
    </row>
    <row r="887">
      <c r="A887" s="5"/>
      <c r="B887" s="5"/>
    </row>
    <row r="888">
      <c r="A888" s="5"/>
      <c r="B888" s="5"/>
    </row>
    <row r="889">
      <c r="A889" s="5"/>
      <c r="B889" s="5"/>
    </row>
    <row r="890">
      <c r="A890" s="5"/>
      <c r="B890" s="5"/>
    </row>
    <row r="891">
      <c r="A891" s="5"/>
      <c r="B891" s="5"/>
    </row>
    <row r="892">
      <c r="A892" s="5"/>
      <c r="B892" s="5"/>
    </row>
    <row r="893">
      <c r="A893" s="5"/>
      <c r="B893" s="5"/>
    </row>
    <row r="894">
      <c r="A894" s="5"/>
      <c r="B894" s="5"/>
    </row>
    <row r="895">
      <c r="A895" s="5"/>
      <c r="B895" s="5"/>
    </row>
    <row r="896">
      <c r="A896" s="5"/>
      <c r="B896" s="5"/>
    </row>
    <row r="897">
      <c r="A897" s="5"/>
      <c r="B897" s="5"/>
    </row>
    <row r="898">
      <c r="A898" s="5"/>
      <c r="B898" s="5"/>
    </row>
    <row r="899">
      <c r="A899" s="5"/>
      <c r="B899" s="5"/>
    </row>
    <row r="900">
      <c r="A900" s="5"/>
      <c r="B900" s="5"/>
    </row>
    <row r="901">
      <c r="A901" s="5"/>
      <c r="B901" s="5"/>
    </row>
    <row r="902">
      <c r="A902" s="5"/>
      <c r="B902" s="5"/>
    </row>
    <row r="903">
      <c r="A903" s="5"/>
      <c r="B903" s="5"/>
    </row>
    <row r="904">
      <c r="A904" s="5"/>
      <c r="B904" s="5"/>
    </row>
    <row r="905">
      <c r="A905" s="5"/>
      <c r="B905" s="5"/>
    </row>
    <row r="906">
      <c r="A906" s="5"/>
      <c r="B906" s="5"/>
    </row>
    <row r="907">
      <c r="A907" s="5"/>
      <c r="B907" s="5"/>
    </row>
    <row r="908">
      <c r="A908" s="5"/>
      <c r="B908" s="5"/>
    </row>
    <row r="909">
      <c r="A909" s="5"/>
      <c r="B909" s="5"/>
    </row>
    <row r="910">
      <c r="A910" s="5"/>
      <c r="B910" s="5"/>
    </row>
    <row r="911">
      <c r="A911" s="5"/>
      <c r="B911" s="5"/>
    </row>
    <row r="912">
      <c r="A912" s="5"/>
      <c r="B912" s="5"/>
    </row>
    <row r="913">
      <c r="A913" s="5"/>
      <c r="B913" s="5"/>
    </row>
    <row r="914">
      <c r="A914" s="5"/>
      <c r="B914" s="5"/>
    </row>
    <row r="915">
      <c r="A915" s="5"/>
      <c r="B915" s="5"/>
    </row>
    <row r="916">
      <c r="A916" s="5"/>
      <c r="B916" s="5"/>
    </row>
    <row r="917">
      <c r="A917" s="5"/>
      <c r="B917" s="5"/>
    </row>
    <row r="918">
      <c r="A918" s="5"/>
      <c r="B918" s="5"/>
    </row>
    <row r="919">
      <c r="A919" s="5"/>
      <c r="B919" s="5"/>
    </row>
    <row r="920">
      <c r="A920" s="5"/>
      <c r="B920" s="5"/>
    </row>
    <row r="921">
      <c r="A921" s="5"/>
      <c r="B921" s="5"/>
    </row>
    <row r="922">
      <c r="A922" s="5"/>
      <c r="B922" s="5"/>
    </row>
    <row r="923">
      <c r="A923" s="5"/>
      <c r="B923" s="5"/>
    </row>
    <row r="924">
      <c r="A924" s="5"/>
      <c r="B924" s="5"/>
    </row>
    <row r="925">
      <c r="A925" s="5"/>
      <c r="B925" s="5"/>
    </row>
    <row r="926">
      <c r="A926" s="5"/>
      <c r="B926" s="5"/>
    </row>
    <row r="927">
      <c r="A927" s="5"/>
      <c r="B927" s="5"/>
    </row>
    <row r="928">
      <c r="A928" s="5"/>
      <c r="B928" s="5"/>
    </row>
    <row r="929">
      <c r="A929" s="5"/>
      <c r="B929" s="5"/>
    </row>
    <row r="930">
      <c r="A930" s="5"/>
      <c r="B930" s="5"/>
    </row>
    <row r="931">
      <c r="A931" s="5"/>
      <c r="B931" s="5"/>
    </row>
    <row r="932">
      <c r="A932" s="5"/>
      <c r="B932" s="5"/>
    </row>
    <row r="933">
      <c r="A933" s="5"/>
      <c r="B933" s="5"/>
    </row>
    <row r="934">
      <c r="A934" s="5"/>
      <c r="B934" s="5"/>
    </row>
    <row r="935">
      <c r="A935" s="5"/>
      <c r="B935" s="5"/>
    </row>
    <row r="936">
      <c r="A936" s="5"/>
      <c r="B936" s="5"/>
    </row>
    <row r="937">
      <c r="A937" s="5"/>
      <c r="B937" s="5"/>
    </row>
    <row r="938">
      <c r="A938" s="5"/>
      <c r="B938" s="5"/>
    </row>
    <row r="939">
      <c r="A939" s="5"/>
      <c r="B939" s="5"/>
    </row>
    <row r="940">
      <c r="A940" s="5"/>
      <c r="B940" s="5"/>
    </row>
    <row r="941">
      <c r="A941" s="5"/>
      <c r="B941" s="5"/>
    </row>
    <row r="942">
      <c r="A942" s="5"/>
      <c r="B942" s="5"/>
    </row>
    <row r="943">
      <c r="A943" s="5"/>
      <c r="B943" s="5"/>
    </row>
    <row r="944">
      <c r="A944" s="5"/>
      <c r="B944" s="5"/>
    </row>
    <row r="945">
      <c r="A945" s="5"/>
      <c r="B945" s="5"/>
    </row>
    <row r="946">
      <c r="A946" s="5"/>
      <c r="B946" s="5"/>
    </row>
    <row r="947">
      <c r="A947" s="5"/>
      <c r="B947" s="5"/>
    </row>
    <row r="948">
      <c r="A948" s="5"/>
      <c r="B948" s="5"/>
    </row>
    <row r="949">
      <c r="A949" s="5"/>
      <c r="B949" s="5"/>
    </row>
    <row r="950">
      <c r="A950" s="5"/>
      <c r="B950" s="5"/>
    </row>
    <row r="951">
      <c r="A951" s="5"/>
      <c r="B951" s="5"/>
    </row>
    <row r="952">
      <c r="A952" s="5"/>
      <c r="B952" s="5"/>
    </row>
    <row r="953">
      <c r="A953" s="5"/>
      <c r="B953" s="5"/>
    </row>
    <row r="954">
      <c r="A954" s="5"/>
      <c r="B954" s="5"/>
    </row>
    <row r="955">
      <c r="A955" s="5"/>
      <c r="B955" s="5"/>
    </row>
    <row r="956">
      <c r="A956" s="5"/>
      <c r="B956" s="5"/>
    </row>
    <row r="957">
      <c r="A957" s="5"/>
      <c r="B957" s="5"/>
    </row>
    <row r="958">
      <c r="A958" s="5"/>
      <c r="B958" s="5"/>
    </row>
    <row r="959">
      <c r="A959" s="5"/>
      <c r="B959" s="5"/>
    </row>
    <row r="960">
      <c r="A960" s="5"/>
      <c r="B960" s="5"/>
    </row>
    <row r="961">
      <c r="A961" s="5"/>
      <c r="B961" s="5"/>
    </row>
    <row r="962">
      <c r="A962" s="5"/>
      <c r="B962" s="5"/>
    </row>
    <row r="963">
      <c r="A963" s="5"/>
      <c r="B963" s="5"/>
    </row>
    <row r="964">
      <c r="A964" s="5"/>
      <c r="B964" s="5"/>
    </row>
    <row r="965">
      <c r="A965" s="5"/>
      <c r="B965" s="5"/>
    </row>
    <row r="966">
      <c r="A966" s="5"/>
      <c r="B966" s="5"/>
    </row>
    <row r="967">
      <c r="A967" s="5"/>
      <c r="B967" s="5"/>
    </row>
    <row r="968">
      <c r="A968" s="5"/>
      <c r="B968" s="5"/>
    </row>
    <row r="969">
      <c r="A969" s="5"/>
      <c r="B969" s="5"/>
    </row>
    <row r="970">
      <c r="A970" s="5"/>
      <c r="B970" s="5"/>
    </row>
    <row r="971">
      <c r="A971" s="5"/>
      <c r="B971" s="5"/>
    </row>
    <row r="972">
      <c r="A972" s="5"/>
      <c r="B972" s="5"/>
    </row>
    <row r="973">
      <c r="A973" s="5"/>
      <c r="B973" s="5"/>
    </row>
    <row r="974">
      <c r="A974" s="5"/>
      <c r="B974" s="5"/>
    </row>
    <row r="975">
      <c r="A975" s="5"/>
      <c r="B975" s="5"/>
    </row>
    <row r="976">
      <c r="A976" s="5"/>
      <c r="B976" s="5"/>
    </row>
    <row r="977">
      <c r="A977" s="5"/>
      <c r="B977" s="5"/>
    </row>
    <row r="978">
      <c r="A978" s="5"/>
      <c r="B978" s="5"/>
    </row>
    <row r="979">
      <c r="A979" s="5"/>
      <c r="B979" s="5"/>
    </row>
    <row r="980">
      <c r="A980" s="5"/>
      <c r="B980" s="5"/>
    </row>
    <row r="981">
      <c r="A981" s="5"/>
      <c r="B981" s="5"/>
    </row>
    <row r="982">
      <c r="A982" s="5"/>
      <c r="B982" s="5"/>
    </row>
    <row r="983">
      <c r="A983" s="5"/>
      <c r="B983" s="5"/>
    </row>
    <row r="984">
      <c r="A984" s="5"/>
      <c r="B984" s="5"/>
    </row>
    <row r="985">
      <c r="A985" s="5"/>
      <c r="B985" s="5"/>
    </row>
    <row r="986">
      <c r="A986" s="5"/>
      <c r="B986" s="5"/>
    </row>
    <row r="987">
      <c r="A987" s="5"/>
      <c r="B987" s="5"/>
    </row>
    <row r="988">
      <c r="A988" s="5"/>
      <c r="B988" s="5"/>
    </row>
    <row r="989">
      <c r="A989" s="5"/>
      <c r="B989" s="5"/>
    </row>
    <row r="990">
      <c r="A990" s="5"/>
      <c r="B990" s="5"/>
    </row>
    <row r="991">
      <c r="A991" s="5"/>
      <c r="B991" s="5"/>
    </row>
    <row r="992">
      <c r="A992" s="5"/>
      <c r="B992" s="5"/>
    </row>
    <row r="993">
      <c r="A993" s="5"/>
      <c r="B993" s="5"/>
    </row>
    <row r="994">
      <c r="A994" s="5"/>
      <c r="B994" s="5"/>
    </row>
    <row r="995">
      <c r="A995" s="5"/>
      <c r="B995" s="5"/>
    </row>
    <row r="996">
      <c r="A996" s="5"/>
      <c r="B996" s="5"/>
    </row>
    <row r="997">
      <c r="A997" s="5"/>
      <c r="B997" s="5"/>
    </row>
    <row r="998">
      <c r="A998" s="5"/>
      <c r="B998" s="5"/>
    </row>
    <row r="999">
      <c r="A999" s="5"/>
      <c r="B999" s="5"/>
    </row>
    <row r="1000">
      <c r="A1000" s="5"/>
      <c r="B1000" s="5"/>
    </row>
    <row r="1001">
      <c r="A1001" s="5"/>
      <c r="B1001" s="5"/>
    </row>
    <row r="1002">
      <c r="A1002" s="5"/>
      <c r="B1002" s="5"/>
    </row>
    <row r="1003">
      <c r="A1003" s="5"/>
      <c r="B1003" s="5"/>
    </row>
  </sheetData>
  <dataValidations>
    <dataValidation type="custom" allowBlank="1" showDropDown="1" sqref="B8:B18">
      <formula1>AND(ISNUMBER(B8),(NOT(OR(NOT(ISERROR(DATEVALUE(B8))), AND(ISNUMBER(B8), LEFT(CELL("format", B8))="D")))))</formula1>
    </dataValidation>
    <dataValidation type="list" allowBlank="1" sqref="D8:D18">
      <formula1>"No,Yes,N/A"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5.5"/>
    <col customWidth="1" min="3" max="3" width="48.25"/>
    <col customWidth="1" min="4" max="4" width="17.25"/>
    <col customWidth="1" min="5" max="5" width="39.13"/>
  </cols>
  <sheetData>
    <row r="1">
      <c r="A1" s="5"/>
      <c r="B1" s="62" t="str">
        <f>CONCATENATE('0. Checklist'!D1, " ", '0. Checklist'!D2)</f>
        <v>9 IT Software Solutions for Business</v>
      </c>
      <c r="E1" s="104"/>
    </row>
    <row r="2">
      <c r="A2" s="98"/>
      <c r="B2" s="99" t="s">
        <v>31</v>
      </c>
      <c r="C2" s="63" t="s">
        <v>144</v>
      </c>
      <c r="D2" s="105" t="s">
        <v>145</v>
      </c>
      <c r="E2" s="106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98"/>
      <c r="B3" s="99" t="s">
        <v>31</v>
      </c>
      <c r="C3" s="8" t="s">
        <v>146</v>
      </c>
      <c r="D3" s="99"/>
      <c r="E3" s="106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5"/>
      <c r="B4" s="107" t="s">
        <v>31</v>
      </c>
      <c r="C4" s="8" t="s">
        <v>147</v>
      </c>
      <c r="E4" s="108"/>
    </row>
    <row r="5">
      <c r="A5" s="5"/>
      <c r="B5" s="5"/>
      <c r="E5" s="108"/>
    </row>
    <row r="6">
      <c r="A6" s="5"/>
      <c r="B6" s="5"/>
      <c r="C6" s="8"/>
      <c r="D6" s="8"/>
      <c r="E6" s="108"/>
    </row>
    <row r="7" ht="22.5" customHeight="1">
      <c r="A7" s="101"/>
      <c r="B7" s="102" t="s">
        <v>8</v>
      </c>
      <c r="C7" s="102" t="s">
        <v>148</v>
      </c>
      <c r="D7" s="102" t="s">
        <v>10</v>
      </c>
      <c r="E7" s="11" t="s">
        <v>134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22.5" customHeight="1">
      <c r="A8" s="99"/>
      <c r="B8" s="109">
        <v>1.0</v>
      </c>
      <c r="C8" s="103" t="s">
        <v>149</v>
      </c>
      <c r="D8" s="110" t="s">
        <v>122</v>
      </c>
      <c r="E8" s="111" t="s">
        <v>150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22.5" customHeight="1">
      <c r="A9" s="99"/>
      <c r="B9" s="109">
        <v>2.0</v>
      </c>
      <c r="C9" s="103" t="s">
        <v>151</v>
      </c>
      <c r="D9" s="110" t="s">
        <v>122</v>
      </c>
      <c r="E9" s="112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ht="22.5" customHeight="1">
      <c r="A10" s="99"/>
      <c r="B10" s="109">
        <v>2.1</v>
      </c>
      <c r="C10" s="103" t="s">
        <v>152</v>
      </c>
      <c r="D10" s="110" t="s">
        <v>122</v>
      </c>
      <c r="E10" s="111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22.5" customHeight="1">
      <c r="A11" s="99"/>
      <c r="B11" s="109">
        <v>2.2</v>
      </c>
      <c r="C11" s="103" t="s">
        <v>153</v>
      </c>
      <c r="D11" s="110" t="s">
        <v>122</v>
      </c>
      <c r="E11" s="111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22.5" customHeight="1">
      <c r="A12" s="99"/>
      <c r="B12" s="109">
        <v>2.3</v>
      </c>
      <c r="C12" s="103" t="s">
        <v>154</v>
      </c>
      <c r="D12" s="110" t="s">
        <v>122</v>
      </c>
      <c r="E12" s="111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22.5" customHeight="1">
      <c r="A13" s="99"/>
      <c r="B13" s="109">
        <v>2.4</v>
      </c>
      <c r="C13" s="103" t="s">
        <v>155</v>
      </c>
      <c r="D13" s="110" t="s">
        <v>122</v>
      </c>
      <c r="E13" s="111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t="22.5" customHeight="1">
      <c r="A14" s="99"/>
      <c r="B14" s="109">
        <v>2.5</v>
      </c>
      <c r="C14" s="103" t="s">
        <v>156</v>
      </c>
      <c r="D14" s="110" t="s">
        <v>122</v>
      </c>
      <c r="E14" s="111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ht="22.5" customHeight="1">
      <c r="A15" s="99"/>
      <c r="B15" s="109">
        <v>2.6</v>
      </c>
      <c r="C15" s="103" t="s">
        <v>157</v>
      </c>
      <c r="D15" s="110" t="s">
        <v>122</v>
      </c>
      <c r="E15" s="111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ht="22.5" customHeight="1">
      <c r="A16" s="99"/>
      <c r="B16" s="109">
        <v>2.7</v>
      </c>
      <c r="C16" s="103" t="s">
        <v>158</v>
      </c>
      <c r="D16" s="110" t="s">
        <v>122</v>
      </c>
      <c r="E16" s="111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ht="22.5" customHeight="1">
      <c r="A17" s="99"/>
      <c r="B17" s="109">
        <v>2.8</v>
      </c>
      <c r="C17" s="103" t="s">
        <v>159</v>
      </c>
      <c r="D17" s="110" t="s">
        <v>122</v>
      </c>
      <c r="E17" s="111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ht="22.5" customHeight="1">
      <c r="A18" s="99"/>
      <c r="B18" s="109">
        <v>2.9</v>
      </c>
      <c r="C18" s="103" t="s">
        <v>160</v>
      </c>
      <c r="D18" s="110" t="s">
        <v>122</v>
      </c>
      <c r="E18" s="111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ht="22.5" customHeight="1">
      <c r="A19" s="99"/>
      <c r="B19" s="113">
        <v>2.1</v>
      </c>
      <c r="C19" s="103" t="s">
        <v>161</v>
      </c>
      <c r="D19" s="110" t="s">
        <v>122</v>
      </c>
      <c r="E19" s="111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ht="22.5" customHeight="1">
      <c r="A20" s="99"/>
      <c r="B20" s="109">
        <v>2.11</v>
      </c>
      <c r="C20" s="103" t="s">
        <v>162</v>
      </c>
      <c r="D20" s="110" t="s">
        <v>122</v>
      </c>
      <c r="E20" s="111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ht="22.5" customHeight="1">
      <c r="A21" s="99"/>
      <c r="B21" s="109">
        <v>2.12</v>
      </c>
      <c r="C21" s="103" t="s">
        <v>163</v>
      </c>
      <c r="D21" s="110" t="s">
        <v>122</v>
      </c>
      <c r="E21" s="111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22.5" customHeight="1">
      <c r="A22" s="99"/>
      <c r="B22" s="109">
        <v>2.13</v>
      </c>
      <c r="C22" s="103" t="s">
        <v>164</v>
      </c>
      <c r="D22" s="110" t="s">
        <v>122</v>
      </c>
      <c r="E22" s="111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22.5" customHeight="1">
      <c r="A23" s="99"/>
      <c r="B23" s="15">
        <v>3.0</v>
      </c>
      <c r="C23" s="103" t="s">
        <v>165</v>
      </c>
      <c r="D23" s="110" t="s">
        <v>122</v>
      </c>
      <c r="E23" s="111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5"/>
      <c r="B24" s="5"/>
      <c r="E24" s="108"/>
    </row>
    <row r="25">
      <c r="A25" s="5"/>
      <c r="B25" s="107"/>
      <c r="E25" s="108"/>
    </row>
    <row r="26">
      <c r="A26" s="5"/>
      <c r="B26" s="107"/>
      <c r="E26" s="108"/>
    </row>
    <row r="27">
      <c r="A27" s="5"/>
      <c r="B27" s="5"/>
      <c r="E27" s="108"/>
    </row>
    <row r="28">
      <c r="A28" s="5"/>
      <c r="B28" s="5"/>
      <c r="E28" s="108"/>
    </row>
    <row r="29">
      <c r="A29" s="5"/>
      <c r="B29" s="5"/>
      <c r="E29" s="108"/>
    </row>
    <row r="30">
      <c r="A30" s="5"/>
      <c r="B30" s="5"/>
      <c r="E30" s="108"/>
    </row>
    <row r="31">
      <c r="A31" s="5"/>
      <c r="B31" s="5"/>
      <c r="E31" s="108"/>
    </row>
    <row r="32">
      <c r="A32" s="5"/>
      <c r="B32" s="5"/>
      <c r="E32" s="108"/>
    </row>
    <row r="33">
      <c r="A33" s="5"/>
      <c r="B33" s="5"/>
      <c r="E33" s="108"/>
    </row>
    <row r="34">
      <c r="A34" s="5"/>
      <c r="B34" s="5"/>
      <c r="E34" s="108"/>
    </row>
    <row r="35">
      <c r="A35" s="5"/>
      <c r="B35" s="5"/>
      <c r="E35" s="108"/>
    </row>
    <row r="36">
      <c r="A36" s="5"/>
      <c r="B36" s="5"/>
      <c r="E36" s="108"/>
    </row>
    <row r="37">
      <c r="A37" s="5"/>
      <c r="B37" s="5"/>
      <c r="E37" s="108"/>
    </row>
    <row r="38">
      <c r="A38" s="5"/>
      <c r="B38" s="5"/>
      <c r="E38" s="108"/>
    </row>
    <row r="39">
      <c r="A39" s="5"/>
      <c r="B39" s="5"/>
      <c r="E39" s="108"/>
    </row>
    <row r="40">
      <c r="A40" s="5"/>
      <c r="B40" s="5"/>
      <c r="E40" s="108"/>
    </row>
    <row r="41">
      <c r="A41" s="5"/>
      <c r="B41" s="5"/>
      <c r="E41" s="108"/>
    </row>
    <row r="42">
      <c r="A42" s="5"/>
      <c r="B42" s="5"/>
      <c r="E42" s="108"/>
    </row>
    <row r="43">
      <c r="A43" s="5"/>
      <c r="B43" s="5"/>
      <c r="E43" s="108"/>
    </row>
    <row r="44">
      <c r="A44" s="5"/>
      <c r="B44" s="5"/>
      <c r="E44" s="108"/>
    </row>
    <row r="45">
      <c r="A45" s="5"/>
      <c r="B45" s="5"/>
      <c r="E45" s="108"/>
    </row>
    <row r="46">
      <c r="A46" s="5"/>
      <c r="B46" s="5"/>
      <c r="E46" s="108"/>
    </row>
    <row r="47">
      <c r="A47" s="5"/>
      <c r="B47" s="5"/>
      <c r="E47" s="108"/>
    </row>
    <row r="48">
      <c r="A48" s="5"/>
      <c r="B48" s="5"/>
      <c r="E48" s="108"/>
    </row>
    <row r="49">
      <c r="A49" s="5"/>
      <c r="B49" s="5"/>
      <c r="E49" s="108"/>
    </row>
    <row r="50">
      <c r="A50" s="5"/>
      <c r="B50" s="5"/>
      <c r="E50" s="108"/>
    </row>
    <row r="51">
      <c r="A51" s="5"/>
      <c r="B51" s="5"/>
      <c r="E51" s="108"/>
    </row>
    <row r="52">
      <c r="A52" s="5"/>
      <c r="B52" s="5"/>
      <c r="E52" s="108"/>
    </row>
    <row r="53">
      <c r="A53" s="5"/>
      <c r="B53" s="5"/>
      <c r="E53" s="108"/>
    </row>
    <row r="54">
      <c r="A54" s="5"/>
      <c r="B54" s="5"/>
      <c r="E54" s="108"/>
    </row>
    <row r="55">
      <c r="A55" s="5"/>
      <c r="B55" s="5"/>
      <c r="E55" s="108"/>
    </row>
    <row r="56">
      <c r="A56" s="5"/>
      <c r="B56" s="5"/>
      <c r="E56" s="108"/>
    </row>
    <row r="57">
      <c r="A57" s="5"/>
      <c r="B57" s="5"/>
      <c r="E57" s="108"/>
    </row>
    <row r="58">
      <c r="A58" s="5"/>
      <c r="B58" s="5"/>
      <c r="E58" s="108"/>
    </row>
    <row r="59">
      <c r="A59" s="5"/>
      <c r="B59" s="5"/>
      <c r="E59" s="108"/>
    </row>
    <row r="60">
      <c r="A60" s="5"/>
      <c r="B60" s="5"/>
      <c r="E60" s="108"/>
    </row>
    <row r="61">
      <c r="A61" s="5"/>
      <c r="B61" s="5"/>
      <c r="E61" s="108"/>
    </row>
    <row r="62">
      <c r="A62" s="5"/>
      <c r="B62" s="5"/>
      <c r="E62" s="108"/>
    </row>
    <row r="63">
      <c r="A63" s="5"/>
      <c r="B63" s="5"/>
      <c r="E63" s="108"/>
    </row>
    <row r="64">
      <c r="A64" s="5"/>
      <c r="B64" s="5"/>
      <c r="E64" s="108"/>
    </row>
    <row r="65">
      <c r="A65" s="5"/>
      <c r="B65" s="5"/>
      <c r="E65" s="108"/>
    </row>
    <row r="66">
      <c r="A66" s="5"/>
      <c r="B66" s="5"/>
      <c r="E66" s="108"/>
    </row>
    <row r="67">
      <c r="A67" s="5"/>
      <c r="B67" s="5"/>
      <c r="E67" s="108"/>
    </row>
    <row r="68">
      <c r="A68" s="5"/>
      <c r="B68" s="5"/>
      <c r="E68" s="108"/>
    </row>
    <row r="69">
      <c r="A69" s="5"/>
      <c r="B69" s="5"/>
      <c r="E69" s="108"/>
    </row>
    <row r="70">
      <c r="A70" s="5"/>
      <c r="B70" s="5"/>
      <c r="E70" s="108"/>
    </row>
    <row r="71">
      <c r="A71" s="5"/>
      <c r="B71" s="5"/>
      <c r="E71" s="108"/>
    </row>
    <row r="72">
      <c r="A72" s="5"/>
      <c r="B72" s="5"/>
      <c r="E72" s="108"/>
    </row>
    <row r="73">
      <c r="A73" s="5"/>
      <c r="B73" s="5"/>
      <c r="E73" s="108"/>
    </row>
    <row r="74">
      <c r="A74" s="5"/>
      <c r="B74" s="5"/>
      <c r="E74" s="108"/>
    </row>
    <row r="75">
      <c r="A75" s="5"/>
      <c r="B75" s="5"/>
      <c r="E75" s="108"/>
    </row>
    <row r="76">
      <c r="A76" s="5"/>
      <c r="B76" s="5"/>
      <c r="E76" s="108"/>
    </row>
    <row r="77">
      <c r="A77" s="5"/>
      <c r="B77" s="5"/>
      <c r="E77" s="108"/>
    </row>
    <row r="78">
      <c r="A78" s="5"/>
      <c r="B78" s="5"/>
      <c r="E78" s="108"/>
    </row>
    <row r="79">
      <c r="A79" s="5"/>
      <c r="B79" s="5"/>
      <c r="E79" s="108"/>
    </row>
    <row r="80">
      <c r="A80" s="5"/>
      <c r="B80" s="5"/>
      <c r="E80" s="108"/>
    </row>
    <row r="81">
      <c r="A81" s="5"/>
      <c r="B81" s="5"/>
      <c r="E81" s="108"/>
    </row>
    <row r="82">
      <c r="A82" s="5"/>
      <c r="B82" s="5"/>
      <c r="E82" s="108"/>
    </row>
    <row r="83">
      <c r="A83" s="5"/>
      <c r="B83" s="5"/>
      <c r="E83" s="108"/>
    </row>
    <row r="84">
      <c r="A84" s="5"/>
      <c r="B84" s="5"/>
      <c r="E84" s="108"/>
    </row>
    <row r="85">
      <c r="A85" s="5"/>
      <c r="B85" s="5"/>
      <c r="E85" s="108"/>
    </row>
    <row r="86">
      <c r="A86" s="5"/>
      <c r="B86" s="5"/>
      <c r="E86" s="108"/>
    </row>
    <row r="87">
      <c r="A87" s="5"/>
      <c r="B87" s="5"/>
      <c r="E87" s="108"/>
    </row>
    <row r="88">
      <c r="A88" s="5"/>
      <c r="B88" s="5"/>
      <c r="E88" s="108"/>
    </row>
    <row r="89">
      <c r="A89" s="5"/>
      <c r="B89" s="5"/>
      <c r="E89" s="108"/>
    </row>
    <row r="90">
      <c r="A90" s="5"/>
      <c r="B90" s="5"/>
      <c r="E90" s="108"/>
    </row>
    <row r="91">
      <c r="A91" s="5"/>
      <c r="B91" s="5"/>
      <c r="E91" s="108"/>
    </row>
    <row r="92">
      <c r="A92" s="5"/>
      <c r="B92" s="5"/>
      <c r="E92" s="108"/>
    </row>
    <row r="93">
      <c r="A93" s="5"/>
      <c r="B93" s="5"/>
      <c r="E93" s="108"/>
    </row>
    <row r="94">
      <c r="A94" s="5"/>
      <c r="B94" s="5"/>
      <c r="E94" s="108"/>
    </row>
    <row r="95">
      <c r="A95" s="5"/>
      <c r="B95" s="5"/>
      <c r="E95" s="108"/>
    </row>
    <row r="96">
      <c r="A96" s="5"/>
      <c r="B96" s="5"/>
      <c r="E96" s="108"/>
    </row>
    <row r="97">
      <c r="A97" s="5"/>
      <c r="B97" s="5"/>
      <c r="E97" s="108"/>
    </row>
    <row r="98">
      <c r="A98" s="5"/>
      <c r="B98" s="5"/>
      <c r="E98" s="108"/>
    </row>
    <row r="99">
      <c r="A99" s="5"/>
      <c r="B99" s="5"/>
      <c r="E99" s="108"/>
    </row>
    <row r="100">
      <c r="A100" s="5"/>
      <c r="B100" s="5"/>
      <c r="E100" s="108"/>
    </row>
    <row r="101">
      <c r="A101" s="5"/>
      <c r="B101" s="5"/>
      <c r="E101" s="108"/>
    </row>
    <row r="102">
      <c r="A102" s="5"/>
      <c r="B102" s="5"/>
      <c r="E102" s="108"/>
    </row>
    <row r="103">
      <c r="A103" s="5"/>
      <c r="B103" s="5"/>
      <c r="E103" s="108"/>
    </row>
    <row r="104">
      <c r="A104" s="5"/>
      <c r="B104" s="5"/>
      <c r="E104" s="108"/>
    </row>
    <row r="105">
      <c r="A105" s="5"/>
      <c r="B105" s="5"/>
      <c r="E105" s="108"/>
    </row>
    <row r="106">
      <c r="A106" s="5"/>
      <c r="B106" s="5"/>
      <c r="E106" s="108"/>
    </row>
    <row r="107">
      <c r="A107" s="5"/>
      <c r="B107" s="5"/>
      <c r="E107" s="108"/>
    </row>
    <row r="108">
      <c r="A108" s="5"/>
      <c r="B108" s="5"/>
      <c r="E108" s="108"/>
    </row>
    <row r="109">
      <c r="A109" s="5"/>
      <c r="B109" s="5"/>
      <c r="E109" s="108"/>
    </row>
    <row r="110">
      <c r="A110" s="5"/>
      <c r="B110" s="5"/>
      <c r="E110" s="108"/>
    </row>
    <row r="111">
      <c r="A111" s="5"/>
      <c r="B111" s="5"/>
      <c r="E111" s="108"/>
    </row>
    <row r="112">
      <c r="A112" s="5"/>
      <c r="B112" s="5"/>
      <c r="E112" s="108"/>
    </row>
    <row r="113">
      <c r="A113" s="5"/>
      <c r="B113" s="5"/>
      <c r="E113" s="108"/>
    </row>
    <row r="114">
      <c r="A114" s="5"/>
      <c r="B114" s="5"/>
      <c r="E114" s="108"/>
    </row>
    <row r="115">
      <c r="A115" s="5"/>
      <c r="B115" s="5"/>
      <c r="E115" s="108"/>
    </row>
    <row r="116">
      <c r="A116" s="5"/>
      <c r="B116" s="5"/>
      <c r="E116" s="108"/>
    </row>
    <row r="117">
      <c r="A117" s="5"/>
      <c r="B117" s="5"/>
      <c r="E117" s="108"/>
    </row>
    <row r="118">
      <c r="A118" s="5"/>
      <c r="B118" s="5"/>
      <c r="E118" s="108"/>
    </row>
    <row r="119">
      <c r="A119" s="5"/>
      <c r="B119" s="5"/>
      <c r="E119" s="108"/>
    </row>
    <row r="120">
      <c r="A120" s="5"/>
      <c r="B120" s="5"/>
      <c r="E120" s="108"/>
    </row>
    <row r="121">
      <c r="A121" s="5"/>
      <c r="B121" s="5"/>
      <c r="E121" s="108"/>
    </row>
    <row r="122">
      <c r="A122" s="5"/>
      <c r="B122" s="5"/>
      <c r="E122" s="108"/>
    </row>
    <row r="123">
      <c r="A123" s="5"/>
      <c r="B123" s="5"/>
      <c r="E123" s="108"/>
    </row>
    <row r="124">
      <c r="A124" s="5"/>
      <c r="B124" s="5"/>
      <c r="E124" s="108"/>
    </row>
    <row r="125">
      <c r="A125" s="5"/>
      <c r="B125" s="5"/>
      <c r="E125" s="108"/>
    </row>
    <row r="126">
      <c r="A126" s="5"/>
      <c r="B126" s="5"/>
      <c r="E126" s="108"/>
    </row>
    <row r="127">
      <c r="A127" s="5"/>
      <c r="B127" s="5"/>
      <c r="E127" s="108"/>
    </row>
    <row r="128">
      <c r="A128" s="5"/>
      <c r="B128" s="5"/>
      <c r="E128" s="108"/>
    </row>
    <row r="129">
      <c r="A129" s="5"/>
      <c r="B129" s="5"/>
      <c r="E129" s="108"/>
    </row>
    <row r="130">
      <c r="A130" s="5"/>
      <c r="B130" s="5"/>
      <c r="E130" s="108"/>
    </row>
    <row r="131">
      <c r="A131" s="5"/>
      <c r="B131" s="5"/>
      <c r="E131" s="108"/>
    </row>
    <row r="132">
      <c r="A132" s="5"/>
      <c r="B132" s="5"/>
      <c r="E132" s="108"/>
    </row>
    <row r="133">
      <c r="A133" s="5"/>
      <c r="B133" s="5"/>
      <c r="E133" s="108"/>
    </row>
    <row r="134">
      <c r="A134" s="5"/>
      <c r="B134" s="5"/>
      <c r="E134" s="108"/>
    </row>
    <row r="135">
      <c r="A135" s="5"/>
      <c r="B135" s="5"/>
      <c r="E135" s="108"/>
    </row>
    <row r="136">
      <c r="A136" s="5"/>
      <c r="B136" s="5"/>
      <c r="E136" s="108"/>
    </row>
    <row r="137">
      <c r="A137" s="5"/>
      <c r="B137" s="5"/>
      <c r="E137" s="108"/>
    </row>
    <row r="138">
      <c r="A138" s="5"/>
      <c r="B138" s="5"/>
      <c r="E138" s="108"/>
    </row>
    <row r="139">
      <c r="A139" s="5"/>
      <c r="B139" s="5"/>
      <c r="E139" s="108"/>
    </row>
    <row r="140">
      <c r="A140" s="5"/>
      <c r="B140" s="5"/>
      <c r="E140" s="108"/>
    </row>
    <row r="141">
      <c r="A141" s="5"/>
      <c r="B141" s="5"/>
      <c r="E141" s="108"/>
    </row>
    <row r="142">
      <c r="A142" s="5"/>
      <c r="B142" s="5"/>
      <c r="E142" s="108"/>
    </row>
    <row r="143">
      <c r="A143" s="5"/>
      <c r="B143" s="5"/>
      <c r="E143" s="108"/>
    </row>
    <row r="144">
      <c r="A144" s="5"/>
      <c r="B144" s="5"/>
      <c r="E144" s="108"/>
    </row>
    <row r="145">
      <c r="A145" s="5"/>
      <c r="B145" s="5"/>
      <c r="E145" s="108"/>
    </row>
    <row r="146">
      <c r="A146" s="5"/>
      <c r="B146" s="5"/>
      <c r="E146" s="108"/>
    </row>
    <row r="147">
      <c r="A147" s="5"/>
      <c r="B147" s="5"/>
      <c r="E147" s="108"/>
    </row>
    <row r="148">
      <c r="A148" s="5"/>
      <c r="B148" s="5"/>
      <c r="E148" s="108"/>
    </row>
    <row r="149">
      <c r="A149" s="5"/>
      <c r="B149" s="5"/>
      <c r="E149" s="108"/>
    </row>
    <row r="150">
      <c r="A150" s="5"/>
      <c r="B150" s="5"/>
      <c r="E150" s="108"/>
    </row>
    <row r="151">
      <c r="A151" s="5"/>
      <c r="B151" s="5"/>
      <c r="E151" s="108"/>
    </row>
    <row r="152">
      <c r="A152" s="5"/>
      <c r="B152" s="5"/>
      <c r="E152" s="108"/>
    </row>
    <row r="153">
      <c r="A153" s="5"/>
      <c r="B153" s="5"/>
      <c r="E153" s="108"/>
    </row>
    <row r="154">
      <c r="A154" s="5"/>
      <c r="B154" s="5"/>
      <c r="E154" s="108"/>
    </row>
    <row r="155">
      <c r="A155" s="5"/>
      <c r="B155" s="5"/>
      <c r="E155" s="108"/>
    </row>
    <row r="156">
      <c r="A156" s="5"/>
      <c r="B156" s="5"/>
      <c r="E156" s="108"/>
    </row>
    <row r="157">
      <c r="A157" s="5"/>
      <c r="B157" s="5"/>
      <c r="E157" s="108"/>
    </row>
    <row r="158">
      <c r="A158" s="5"/>
      <c r="B158" s="5"/>
      <c r="E158" s="108"/>
    </row>
    <row r="159">
      <c r="A159" s="5"/>
      <c r="B159" s="5"/>
      <c r="E159" s="108"/>
    </row>
    <row r="160">
      <c r="A160" s="5"/>
      <c r="B160" s="5"/>
      <c r="E160" s="108"/>
    </row>
    <row r="161">
      <c r="A161" s="5"/>
      <c r="B161" s="5"/>
      <c r="E161" s="108"/>
    </row>
    <row r="162">
      <c r="A162" s="5"/>
      <c r="B162" s="5"/>
      <c r="E162" s="108"/>
    </row>
    <row r="163">
      <c r="A163" s="5"/>
      <c r="B163" s="5"/>
      <c r="E163" s="108"/>
    </row>
    <row r="164">
      <c r="A164" s="5"/>
      <c r="B164" s="5"/>
      <c r="E164" s="108"/>
    </row>
    <row r="165">
      <c r="A165" s="5"/>
      <c r="B165" s="5"/>
      <c r="E165" s="108"/>
    </row>
    <row r="166">
      <c r="A166" s="5"/>
      <c r="B166" s="5"/>
      <c r="E166" s="108"/>
    </row>
    <row r="167">
      <c r="A167" s="5"/>
      <c r="B167" s="5"/>
      <c r="E167" s="108"/>
    </row>
    <row r="168">
      <c r="A168" s="5"/>
      <c r="B168" s="5"/>
      <c r="E168" s="108"/>
    </row>
    <row r="169">
      <c r="A169" s="5"/>
      <c r="B169" s="5"/>
      <c r="E169" s="108"/>
    </row>
    <row r="170">
      <c r="A170" s="5"/>
      <c r="B170" s="5"/>
      <c r="E170" s="108"/>
    </row>
    <row r="171">
      <c r="A171" s="5"/>
      <c r="B171" s="5"/>
      <c r="E171" s="108"/>
    </row>
    <row r="172">
      <c r="A172" s="5"/>
      <c r="B172" s="5"/>
      <c r="E172" s="108"/>
    </row>
    <row r="173">
      <c r="A173" s="5"/>
      <c r="B173" s="5"/>
      <c r="E173" s="108"/>
    </row>
    <row r="174">
      <c r="A174" s="5"/>
      <c r="B174" s="5"/>
      <c r="E174" s="108"/>
    </row>
    <row r="175">
      <c r="A175" s="5"/>
      <c r="B175" s="5"/>
      <c r="E175" s="108"/>
    </row>
    <row r="176">
      <c r="A176" s="5"/>
      <c r="B176" s="5"/>
      <c r="E176" s="108"/>
    </row>
    <row r="177">
      <c r="A177" s="5"/>
      <c r="B177" s="5"/>
      <c r="E177" s="108"/>
    </row>
    <row r="178">
      <c r="A178" s="5"/>
      <c r="B178" s="5"/>
      <c r="E178" s="108"/>
    </row>
    <row r="179">
      <c r="A179" s="5"/>
      <c r="B179" s="5"/>
      <c r="E179" s="108"/>
    </row>
    <row r="180">
      <c r="A180" s="5"/>
      <c r="B180" s="5"/>
      <c r="E180" s="108"/>
    </row>
    <row r="181">
      <c r="A181" s="5"/>
      <c r="B181" s="5"/>
      <c r="E181" s="108"/>
    </row>
    <row r="182">
      <c r="A182" s="5"/>
      <c r="B182" s="5"/>
      <c r="E182" s="108"/>
    </row>
    <row r="183">
      <c r="A183" s="5"/>
      <c r="B183" s="5"/>
      <c r="E183" s="108"/>
    </row>
    <row r="184">
      <c r="A184" s="5"/>
      <c r="B184" s="5"/>
      <c r="E184" s="108"/>
    </row>
    <row r="185">
      <c r="A185" s="5"/>
      <c r="B185" s="5"/>
      <c r="E185" s="108"/>
    </row>
    <row r="186">
      <c r="A186" s="5"/>
      <c r="B186" s="5"/>
      <c r="E186" s="108"/>
    </row>
    <row r="187">
      <c r="A187" s="5"/>
      <c r="B187" s="5"/>
      <c r="E187" s="108"/>
    </row>
    <row r="188">
      <c r="A188" s="5"/>
      <c r="B188" s="5"/>
      <c r="E188" s="108"/>
    </row>
    <row r="189">
      <c r="A189" s="5"/>
      <c r="B189" s="5"/>
      <c r="E189" s="108"/>
    </row>
    <row r="190">
      <c r="A190" s="5"/>
      <c r="B190" s="5"/>
      <c r="E190" s="108"/>
    </row>
    <row r="191">
      <c r="A191" s="5"/>
      <c r="B191" s="5"/>
      <c r="E191" s="108"/>
    </row>
    <row r="192">
      <c r="A192" s="5"/>
      <c r="B192" s="5"/>
      <c r="E192" s="108"/>
    </row>
    <row r="193">
      <c r="A193" s="5"/>
      <c r="B193" s="5"/>
      <c r="E193" s="108"/>
    </row>
    <row r="194">
      <c r="A194" s="5"/>
      <c r="B194" s="5"/>
      <c r="E194" s="108"/>
    </row>
    <row r="195">
      <c r="A195" s="5"/>
      <c r="B195" s="5"/>
      <c r="E195" s="108"/>
    </row>
    <row r="196">
      <c r="A196" s="5"/>
      <c r="B196" s="5"/>
      <c r="E196" s="108"/>
    </row>
    <row r="197">
      <c r="A197" s="5"/>
      <c r="B197" s="5"/>
      <c r="E197" s="108"/>
    </row>
    <row r="198">
      <c r="A198" s="5"/>
      <c r="B198" s="5"/>
      <c r="E198" s="108"/>
    </row>
    <row r="199">
      <c r="A199" s="5"/>
      <c r="B199" s="5"/>
      <c r="E199" s="108"/>
    </row>
    <row r="200">
      <c r="A200" s="5"/>
      <c r="B200" s="5"/>
      <c r="E200" s="108"/>
    </row>
    <row r="201">
      <c r="A201" s="5"/>
      <c r="B201" s="5"/>
      <c r="E201" s="108"/>
    </row>
    <row r="202">
      <c r="A202" s="5"/>
      <c r="B202" s="5"/>
      <c r="E202" s="108"/>
    </row>
    <row r="203">
      <c r="A203" s="5"/>
      <c r="B203" s="5"/>
      <c r="E203" s="108"/>
    </row>
    <row r="204">
      <c r="A204" s="5"/>
      <c r="B204" s="5"/>
      <c r="E204" s="108"/>
    </row>
    <row r="205">
      <c r="A205" s="5"/>
      <c r="B205" s="5"/>
      <c r="E205" s="108"/>
    </row>
    <row r="206">
      <c r="A206" s="5"/>
      <c r="B206" s="5"/>
      <c r="E206" s="108"/>
    </row>
    <row r="207">
      <c r="A207" s="5"/>
      <c r="B207" s="5"/>
      <c r="E207" s="108"/>
    </row>
    <row r="208">
      <c r="A208" s="5"/>
      <c r="B208" s="5"/>
      <c r="E208" s="108"/>
    </row>
    <row r="209">
      <c r="A209" s="5"/>
      <c r="B209" s="5"/>
      <c r="E209" s="108"/>
    </row>
    <row r="210">
      <c r="A210" s="5"/>
      <c r="B210" s="5"/>
      <c r="E210" s="108"/>
    </row>
    <row r="211">
      <c r="A211" s="5"/>
      <c r="B211" s="5"/>
      <c r="E211" s="108"/>
    </row>
    <row r="212">
      <c r="A212" s="5"/>
      <c r="B212" s="5"/>
      <c r="E212" s="108"/>
    </row>
    <row r="213">
      <c r="A213" s="5"/>
      <c r="B213" s="5"/>
      <c r="E213" s="108"/>
    </row>
    <row r="214">
      <c r="A214" s="5"/>
      <c r="B214" s="5"/>
      <c r="E214" s="108"/>
    </row>
    <row r="215">
      <c r="A215" s="5"/>
      <c r="B215" s="5"/>
      <c r="E215" s="108"/>
    </row>
    <row r="216">
      <c r="A216" s="5"/>
      <c r="B216" s="5"/>
      <c r="E216" s="108"/>
    </row>
    <row r="217">
      <c r="A217" s="5"/>
      <c r="B217" s="5"/>
      <c r="E217" s="108"/>
    </row>
    <row r="218">
      <c r="A218" s="5"/>
      <c r="B218" s="5"/>
      <c r="E218" s="108"/>
    </row>
    <row r="219">
      <c r="A219" s="5"/>
      <c r="B219" s="5"/>
      <c r="E219" s="108"/>
    </row>
    <row r="220">
      <c r="A220" s="5"/>
      <c r="B220" s="5"/>
      <c r="E220" s="108"/>
    </row>
    <row r="221">
      <c r="A221" s="5"/>
      <c r="B221" s="5"/>
      <c r="E221" s="108"/>
    </row>
    <row r="222">
      <c r="A222" s="5"/>
      <c r="B222" s="5"/>
      <c r="E222" s="108"/>
    </row>
    <row r="223">
      <c r="A223" s="5"/>
      <c r="B223" s="5"/>
      <c r="E223" s="108"/>
    </row>
    <row r="224">
      <c r="A224" s="5"/>
      <c r="B224" s="5"/>
      <c r="E224" s="108"/>
    </row>
    <row r="225">
      <c r="A225" s="5"/>
      <c r="B225" s="5"/>
      <c r="E225" s="108"/>
    </row>
    <row r="226">
      <c r="A226" s="5"/>
      <c r="B226" s="5"/>
      <c r="E226" s="108"/>
    </row>
    <row r="227">
      <c r="A227" s="5"/>
      <c r="B227" s="5"/>
      <c r="E227" s="108"/>
    </row>
    <row r="228">
      <c r="A228" s="5"/>
      <c r="B228" s="5"/>
      <c r="E228" s="108"/>
    </row>
    <row r="229">
      <c r="A229" s="5"/>
      <c r="B229" s="5"/>
      <c r="E229" s="108"/>
    </row>
    <row r="230">
      <c r="A230" s="5"/>
      <c r="B230" s="5"/>
      <c r="E230" s="108"/>
    </row>
    <row r="231">
      <c r="A231" s="5"/>
      <c r="B231" s="5"/>
      <c r="E231" s="108"/>
    </row>
    <row r="232">
      <c r="A232" s="5"/>
      <c r="B232" s="5"/>
      <c r="E232" s="108"/>
    </row>
    <row r="233">
      <c r="A233" s="5"/>
      <c r="B233" s="5"/>
      <c r="E233" s="108"/>
    </row>
    <row r="234">
      <c r="A234" s="5"/>
      <c r="B234" s="5"/>
      <c r="E234" s="108"/>
    </row>
    <row r="235">
      <c r="A235" s="5"/>
      <c r="B235" s="5"/>
      <c r="E235" s="108"/>
    </row>
    <row r="236">
      <c r="A236" s="5"/>
      <c r="B236" s="5"/>
      <c r="E236" s="108"/>
    </row>
    <row r="237">
      <c r="A237" s="5"/>
      <c r="B237" s="5"/>
      <c r="E237" s="108"/>
    </row>
    <row r="238">
      <c r="A238" s="5"/>
      <c r="B238" s="5"/>
      <c r="E238" s="108"/>
    </row>
    <row r="239">
      <c r="A239" s="5"/>
      <c r="B239" s="5"/>
      <c r="E239" s="108"/>
    </row>
    <row r="240">
      <c r="A240" s="5"/>
      <c r="B240" s="5"/>
      <c r="E240" s="108"/>
    </row>
    <row r="241">
      <c r="A241" s="5"/>
      <c r="B241" s="5"/>
      <c r="E241" s="108"/>
    </row>
    <row r="242">
      <c r="A242" s="5"/>
      <c r="B242" s="5"/>
      <c r="E242" s="108"/>
    </row>
    <row r="243">
      <c r="A243" s="5"/>
      <c r="B243" s="5"/>
      <c r="E243" s="108"/>
    </row>
    <row r="244">
      <c r="A244" s="5"/>
      <c r="B244" s="5"/>
      <c r="E244" s="108"/>
    </row>
    <row r="245">
      <c r="A245" s="5"/>
      <c r="B245" s="5"/>
      <c r="E245" s="108"/>
    </row>
    <row r="246">
      <c r="A246" s="5"/>
      <c r="B246" s="5"/>
      <c r="E246" s="108"/>
    </row>
    <row r="247">
      <c r="A247" s="5"/>
      <c r="B247" s="5"/>
      <c r="E247" s="108"/>
    </row>
    <row r="248">
      <c r="A248" s="5"/>
      <c r="B248" s="5"/>
      <c r="E248" s="108"/>
    </row>
    <row r="249">
      <c r="A249" s="5"/>
      <c r="B249" s="5"/>
      <c r="E249" s="108"/>
    </row>
    <row r="250">
      <c r="A250" s="5"/>
      <c r="B250" s="5"/>
      <c r="E250" s="108"/>
    </row>
    <row r="251">
      <c r="A251" s="5"/>
      <c r="B251" s="5"/>
      <c r="E251" s="108"/>
    </row>
    <row r="252">
      <c r="A252" s="5"/>
      <c r="B252" s="5"/>
      <c r="E252" s="108"/>
    </row>
    <row r="253">
      <c r="A253" s="5"/>
      <c r="B253" s="5"/>
      <c r="E253" s="108"/>
    </row>
    <row r="254">
      <c r="A254" s="5"/>
      <c r="B254" s="5"/>
      <c r="E254" s="108"/>
    </row>
    <row r="255">
      <c r="A255" s="5"/>
      <c r="B255" s="5"/>
      <c r="E255" s="108"/>
    </row>
    <row r="256">
      <c r="A256" s="5"/>
      <c r="B256" s="5"/>
      <c r="E256" s="108"/>
    </row>
    <row r="257">
      <c r="A257" s="5"/>
      <c r="B257" s="5"/>
      <c r="E257" s="108"/>
    </row>
    <row r="258">
      <c r="A258" s="5"/>
      <c r="B258" s="5"/>
      <c r="E258" s="108"/>
    </row>
    <row r="259">
      <c r="A259" s="5"/>
      <c r="B259" s="5"/>
      <c r="E259" s="108"/>
    </row>
    <row r="260">
      <c r="A260" s="5"/>
      <c r="B260" s="5"/>
      <c r="E260" s="108"/>
    </row>
    <row r="261">
      <c r="A261" s="5"/>
      <c r="B261" s="5"/>
      <c r="E261" s="108"/>
    </row>
    <row r="262">
      <c r="A262" s="5"/>
      <c r="B262" s="5"/>
      <c r="E262" s="108"/>
    </row>
    <row r="263">
      <c r="A263" s="5"/>
      <c r="B263" s="5"/>
      <c r="E263" s="108"/>
    </row>
    <row r="264">
      <c r="A264" s="5"/>
      <c r="B264" s="5"/>
      <c r="E264" s="108"/>
    </row>
    <row r="265">
      <c r="A265" s="5"/>
      <c r="B265" s="5"/>
      <c r="E265" s="108"/>
    </row>
    <row r="266">
      <c r="A266" s="5"/>
      <c r="B266" s="5"/>
      <c r="E266" s="108"/>
    </row>
    <row r="267">
      <c r="A267" s="5"/>
      <c r="B267" s="5"/>
      <c r="E267" s="108"/>
    </row>
    <row r="268">
      <c r="A268" s="5"/>
      <c r="B268" s="5"/>
      <c r="E268" s="108"/>
    </row>
    <row r="269">
      <c r="A269" s="5"/>
      <c r="B269" s="5"/>
      <c r="E269" s="108"/>
    </row>
    <row r="270">
      <c r="A270" s="5"/>
      <c r="B270" s="5"/>
      <c r="E270" s="108"/>
    </row>
    <row r="271">
      <c r="A271" s="5"/>
      <c r="B271" s="5"/>
      <c r="E271" s="108"/>
    </row>
    <row r="272">
      <c r="A272" s="5"/>
      <c r="B272" s="5"/>
      <c r="E272" s="108"/>
    </row>
    <row r="273">
      <c r="A273" s="5"/>
      <c r="B273" s="5"/>
      <c r="E273" s="108"/>
    </row>
    <row r="274">
      <c r="A274" s="5"/>
      <c r="B274" s="5"/>
      <c r="E274" s="108"/>
    </row>
    <row r="275">
      <c r="A275" s="5"/>
      <c r="B275" s="5"/>
      <c r="E275" s="108"/>
    </row>
    <row r="276">
      <c r="A276" s="5"/>
      <c r="B276" s="5"/>
      <c r="E276" s="108"/>
    </row>
    <row r="277">
      <c r="A277" s="5"/>
      <c r="B277" s="5"/>
      <c r="E277" s="108"/>
    </row>
    <row r="278">
      <c r="A278" s="5"/>
      <c r="B278" s="5"/>
      <c r="E278" s="108"/>
    </row>
    <row r="279">
      <c r="A279" s="5"/>
      <c r="B279" s="5"/>
      <c r="E279" s="108"/>
    </row>
    <row r="280">
      <c r="A280" s="5"/>
      <c r="B280" s="5"/>
      <c r="E280" s="108"/>
    </row>
    <row r="281">
      <c r="A281" s="5"/>
      <c r="B281" s="5"/>
      <c r="E281" s="108"/>
    </row>
    <row r="282">
      <c r="A282" s="5"/>
      <c r="B282" s="5"/>
      <c r="E282" s="108"/>
    </row>
    <row r="283">
      <c r="A283" s="5"/>
      <c r="B283" s="5"/>
      <c r="E283" s="108"/>
    </row>
    <row r="284">
      <c r="A284" s="5"/>
      <c r="B284" s="5"/>
      <c r="E284" s="108"/>
    </row>
    <row r="285">
      <c r="A285" s="5"/>
      <c r="B285" s="5"/>
      <c r="E285" s="108"/>
    </row>
    <row r="286">
      <c r="A286" s="5"/>
      <c r="B286" s="5"/>
      <c r="E286" s="108"/>
    </row>
    <row r="287">
      <c r="A287" s="5"/>
      <c r="B287" s="5"/>
      <c r="E287" s="108"/>
    </row>
    <row r="288">
      <c r="A288" s="5"/>
      <c r="B288" s="5"/>
      <c r="E288" s="108"/>
    </row>
    <row r="289">
      <c r="A289" s="5"/>
      <c r="B289" s="5"/>
      <c r="E289" s="108"/>
    </row>
    <row r="290">
      <c r="A290" s="5"/>
      <c r="B290" s="5"/>
      <c r="E290" s="108"/>
    </row>
    <row r="291">
      <c r="A291" s="5"/>
      <c r="B291" s="5"/>
      <c r="E291" s="108"/>
    </row>
    <row r="292">
      <c r="A292" s="5"/>
      <c r="B292" s="5"/>
      <c r="E292" s="108"/>
    </row>
    <row r="293">
      <c r="A293" s="5"/>
      <c r="B293" s="5"/>
      <c r="E293" s="108"/>
    </row>
    <row r="294">
      <c r="A294" s="5"/>
      <c r="B294" s="5"/>
      <c r="E294" s="108"/>
    </row>
    <row r="295">
      <c r="A295" s="5"/>
      <c r="B295" s="5"/>
      <c r="E295" s="108"/>
    </row>
    <row r="296">
      <c r="A296" s="5"/>
      <c r="B296" s="5"/>
      <c r="E296" s="108"/>
    </row>
    <row r="297">
      <c r="A297" s="5"/>
      <c r="B297" s="5"/>
      <c r="E297" s="108"/>
    </row>
    <row r="298">
      <c r="A298" s="5"/>
      <c r="B298" s="5"/>
      <c r="E298" s="108"/>
    </row>
    <row r="299">
      <c r="A299" s="5"/>
      <c r="B299" s="5"/>
      <c r="E299" s="108"/>
    </row>
    <row r="300">
      <c r="A300" s="5"/>
      <c r="B300" s="5"/>
      <c r="E300" s="108"/>
    </row>
    <row r="301">
      <c r="A301" s="5"/>
      <c r="B301" s="5"/>
      <c r="E301" s="108"/>
    </row>
    <row r="302">
      <c r="A302" s="5"/>
      <c r="B302" s="5"/>
      <c r="E302" s="108"/>
    </row>
    <row r="303">
      <c r="A303" s="5"/>
      <c r="B303" s="5"/>
      <c r="E303" s="108"/>
    </row>
    <row r="304">
      <c r="A304" s="5"/>
      <c r="B304" s="5"/>
      <c r="E304" s="108"/>
    </row>
    <row r="305">
      <c r="A305" s="5"/>
      <c r="B305" s="5"/>
      <c r="E305" s="108"/>
    </row>
    <row r="306">
      <c r="A306" s="5"/>
      <c r="B306" s="5"/>
      <c r="E306" s="108"/>
    </row>
    <row r="307">
      <c r="A307" s="5"/>
      <c r="B307" s="5"/>
      <c r="E307" s="108"/>
    </row>
    <row r="308">
      <c r="A308" s="5"/>
      <c r="B308" s="5"/>
      <c r="E308" s="108"/>
    </row>
    <row r="309">
      <c r="A309" s="5"/>
      <c r="B309" s="5"/>
      <c r="E309" s="108"/>
    </row>
    <row r="310">
      <c r="A310" s="5"/>
      <c r="B310" s="5"/>
      <c r="E310" s="108"/>
    </row>
    <row r="311">
      <c r="A311" s="5"/>
      <c r="B311" s="5"/>
      <c r="E311" s="108"/>
    </row>
    <row r="312">
      <c r="A312" s="5"/>
      <c r="B312" s="5"/>
      <c r="E312" s="108"/>
    </row>
    <row r="313">
      <c r="A313" s="5"/>
      <c r="B313" s="5"/>
      <c r="E313" s="108"/>
    </row>
    <row r="314">
      <c r="A314" s="5"/>
      <c r="B314" s="5"/>
      <c r="E314" s="108"/>
    </row>
    <row r="315">
      <c r="A315" s="5"/>
      <c r="B315" s="5"/>
      <c r="E315" s="108"/>
    </row>
    <row r="316">
      <c r="A316" s="5"/>
      <c r="B316" s="5"/>
      <c r="E316" s="108"/>
    </row>
    <row r="317">
      <c r="A317" s="5"/>
      <c r="B317" s="5"/>
      <c r="E317" s="108"/>
    </row>
    <row r="318">
      <c r="A318" s="5"/>
      <c r="B318" s="5"/>
      <c r="E318" s="108"/>
    </row>
    <row r="319">
      <c r="A319" s="5"/>
      <c r="B319" s="5"/>
      <c r="E319" s="108"/>
    </row>
    <row r="320">
      <c r="A320" s="5"/>
      <c r="B320" s="5"/>
      <c r="E320" s="108"/>
    </row>
    <row r="321">
      <c r="A321" s="5"/>
      <c r="B321" s="5"/>
      <c r="E321" s="108"/>
    </row>
    <row r="322">
      <c r="A322" s="5"/>
      <c r="B322" s="5"/>
      <c r="E322" s="108"/>
    </row>
    <row r="323">
      <c r="A323" s="5"/>
      <c r="B323" s="5"/>
      <c r="E323" s="108"/>
    </row>
    <row r="324">
      <c r="A324" s="5"/>
      <c r="B324" s="5"/>
      <c r="E324" s="108"/>
    </row>
    <row r="325">
      <c r="A325" s="5"/>
      <c r="B325" s="5"/>
      <c r="E325" s="108"/>
    </row>
    <row r="326">
      <c r="A326" s="5"/>
      <c r="B326" s="5"/>
      <c r="E326" s="108"/>
    </row>
    <row r="327">
      <c r="A327" s="5"/>
      <c r="B327" s="5"/>
      <c r="E327" s="108"/>
    </row>
    <row r="328">
      <c r="A328" s="5"/>
      <c r="B328" s="5"/>
      <c r="E328" s="108"/>
    </row>
    <row r="329">
      <c r="A329" s="5"/>
      <c r="B329" s="5"/>
      <c r="E329" s="108"/>
    </row>
    <row r="330">
      <c r="A330" s="5"/>
      <c r="B330" s="5"/>
      <c r="E330" s="108"/>
    </row>
    <row r="331">
      <c r="A331" s="5"/>
      <c r="B331" s="5"/>
      <c r="E331" s="108"/>
    </row>
    <row r="332">
      <c r="A332" s="5"/>
      <c r="B332" s="5"/>
      <c r="E332" s="108"/>
    </row>
    <row r="333">
      <c r="A333" s="5"/>
      <c r="B333" s="5"/>
      <c r="E333" s="108"/>
    </row>
    <row r="334">
      <c r="A334" s="5"/>
      <c r="B334" s="5"/>
      <c r="E334" s="108"/>
    </row>
    <row r="335">
      <c r="A335" s="5"/>
      <c r="B335" s="5"/>
      <c r="E335" s="108"/>
    </row>
    <row r="336">
      <c r="A336" s="5"/>
      <c r="B336" s="5"/>
      <c r="E336" s="108"/>
    </row>
    <row r="337">
      <c r="A337" s="5"/>
      <c r="B337" s="5"/>
      <c r="E337" s="108"/>
    </row>
    <row r="338">
      <c r="A338" s="5"/>
      <c r="B338" s="5"/>
      <c r="E338" s="108"/>
    </row>
    <row r="339">
      <c r="A339" s="5"/>
      <c r="B339" s="5"/>
      <c r="E339" s="108"/>
    </row>
    <row r="340">
      <c r="A340" s="5"/>
      <c r="B340" s="5"/>
      <c r="E340" s="108"/>
    </row>
    <row r="341">
      <c r="A341" s="5"/>
      <c r="B341" s="5"/>
      <c r="E341" s="108"/>
    </row>
    <row r="342">
      <c r="A342" s="5"/>
      <c r="B342" s="5"/>
      <c r="E342" s="108"/>
    </row>
    <row r="343">
      <c r="A343" s="5"/>
      <c r="B343" s="5"/>
      <c r="E343" s="108"/>
    </row>
    <row r="344">
      <c r="A344" s="5"/>
      <c r="B344" s="5"/>
      <c r="E344" s="108"/>
    </row>
    <row r="345">
      <c r="A345" s="5"/>
      <c r="B345" s="5"/>
      <c r="E345" s="108"/>
    </row>
    <row r="346">
      <c r="A346" s="5"/>
      <c r="B346" s="5"/>
      <c r="E346" s="108"/>
    </row>
    <row r="347">
      <c r="A347" s="5"/>
      <c r="B347" s="5"/>
      <c r="E347" s="108"/>
    </row>
    <row r="348">
      <c r="A348" s="5"/>
      <c r="B348" s="5"/>
      <c r="E348" s="108"/>
    </row>
    <row r="349">
      <c r="A349" s="5"/>
      <c r="B349" s="5"/>
      <c r="E349" s="108"/>
    </row>
    <row r="350">
      <c r="A350" s="5"/>
      <c r="B350" s="5"/>
      <c r="E350" s="108"/>
    </row>
    <row r="351">
      <c r="A351" s="5"/>
      <c r="B351" s="5"/>
      <c r="E351" s="108"/>
    </row>
    <row r="352">
      <c r="A352" s="5"/>
      <c r="B352" s="5"/>
      <c r="E352" s="108"/>
    </row>
    <row r="353">
      <c r="A353" s="5"/>
      <c r="B353" s="5"/>
      <c r="E353" s="108"/>
    </row>
    <row r="354">
      <c r="A354" s="5"/>
      <c r="B354" s="5"/>
      <c r="E354" s="108"/>
    </row>
    <row r="355">
      <c r="A355" s="5"/>
      <c r="B355" s="5"/>
      <c r="E355" s="108"/>
    </row>
    <row r="356">
      <c r="A356" s="5"/>
      <c r="B356" s="5"/>
      <c r="E356" s="108"/>
    </row>
    <row r="357">
      <c r="A357" s="5"/>
      <c r="B357" s="5"/>
      <c r="E357" s="108"/>
    </row>
    <row r="358">
      <c r="A358" s="5"/>
      <c r="B358" s="5"/>
      <c r="E358" s="108"/>
    </row>
    <row r="359">
      <c r="A359" s="5"/>
      <c r="B359" s="5"/>
      <c r="E359" s="108"/>
    </row>
    <row r="360">
      <c r="A360" s="5"/>
      <c r="B360" s="5"/>
      <c r="E360" s="108"/>
    </row>
    <row r="361">
      <c r="A361" s="5"/>
      <c r="B361" s="5"/>
      <c r="E361" s="108"/>
    </row>
    <row r="362">
      <c r="A362" s="5"/>
      <c r="B362" s="5"/>
      <c r="E362" s="108"/>
    </row>
    <row r="363">
      <c r="A363" s="5"/>
      <c r="B363" s="5"/>
      <c r="E363" s="108"/>
    </row>
    <row r="364">
      <c r="A364" s="5"/>
      <c r="B364" s="5"/>
      <c r="E364" s="108"/>
    </row>
    <row r="365">
      <c r="A365" s="5"/>
      <c r="B365" s="5"/>
      <c r="E365" s="108"/>
    </row>
    <row r="366">
      <c r="A366" s="5"/>
      <c r="B366" s="5"/>
      <c r="E366" s="108"/>
    </row>
    <row r="367">
      <c r="A367" s="5"/>
      <c r="B367" s="5"/>
      <c r="E367" s="108"/>
    </row>
    <row r="368">
      <c r="A368" s="5"/>
      <c r="B368" s="5"/>
      <c r="E368" s="108"/>
    </row>
    <row r="369">
      <c r="A369" s="5"/>
      <c r="B369" s="5"/>
      <c r="E369" s="108"/>
    </row>
    <row r="370">
      <c r="A370" s="5"/>
      <c r="B370" s="5"/>
      <c r="E370" s="108"/>
    </row>
    <row r="371">
      <c r="A371" s="5"/>
      <c r="B371" s="5"/>
      <c r="E371" s="108"/>
    </row>
    <row r="372">
      <c r="A372" s="5"/>
      <c r="B372" s="5"/>
      <c r="E372" s="108"/>
    </row>
    <row r="373">
      <c r="A373" s="5"/>
      <c r="B373" s="5"/>
      <c r="E373" s="108"/>
    </row>
    <row r="374">
      <c r="A374" s="5"/>
      <c r="B374" s="5"/>
      <c r="E374" s="108"/>
    </row>
    <row r="375">
      <c r="A375" s="5"/>
      <c r="B375" s="5"/>
      <c r="E375" s="108"/>
    </row>
    <row r="376">
      <c r="A376" s="5"/>
      <c r="B376" s="5"/>
      <c r="E376" s="108"/>
    </row>
    <row r="377">
      <c r="A377" s="5"/>
      <c r="B377" s="5"/>
      <c r="E377" s="108"/>
    </row>
    <row r="378">
      <c r="A378" s="5"/>
      <c r="B378" s="5"/>
      <c r="E378" s="108"/>
    </row>
    <row r="379">
      <c r="A379" s="5"/>
      <c r="B379" s="5"/>
      <c r="E379" s="108"/>
    </row>
    <row r="380">
      <c r="A380" s="5"/>
      <c r="B380" s="5"/>
      <c r="E380" s="108"/>
    </row>
    <row r="381">
      <c r="A381" s="5"/>
      <c r="B381" s="5"/>
      <c r="E381" s="108"/>
    </row>
    <row r="382">
      <c r="A382" s="5"/>
      <c r="B382" s="5"/>
      <c r="E382" s="108"/>
    </row>
    <row r="383">
      <c r="A383" s="5"/>
      <c r="B383" s="5"/>
      <c r="E383" s="108"/>
    </row>
    <row r="384">
      <c r="A384" s="5"/>
      <c r="B384" s="5"/>
      <c r="E384" s="108"/>
    </row>
    <row r="385">
      <c r="A385" s="5"/>
      <c r="B385" s="5"/>
      <c r="E385" s="108"/>
    </row>
    <row r="386">
      <c r="A386" s="5"/>
      <c r="B386" s="5"/>
      <c r="E386" s="108"/>
    </row>
    <row r="387">
      <c r="A387" s="5"/>
      <c r="B387" s="5"/>
      <c r="E387" s="108"/>
    </row>
    <row r="388">
      <c r="A388" s="5"/>
      <c r="B388" s="5"/>
      <c r="E388" s="108"/>
    </row>
    <row r="389">
      <c r="A389" s="5"/>
      <c r="B389" s="5"/>
      <c r="E389" s="108"/>
    </row>
    <row r="390">
      <c r="A390" s="5"/>
      <c r="B390" s="5"/>
      <c r="E390" s="108"/>
    </row>
    <row r="391">
      <c r="A391" s="5"/>
      <c r="B391" s="5"/>
      <c r="E391" s="108"/>
    </row>
    <row r="392">
      <c r="A392" s="5"/>
      <c r="B392" s="5"/>
      <c r="E392" s="108"/>
    </row>
    <row r="393">
      <c r="A393" s="5"/>
      <c r="B393" s="5"/>
      <c r="E393" s="108"/>
    </row>
    <row r="394">
      <c r="A394" s="5"/>
      <c r="B394" s="5"/>
      <c r="E394" s="108"/>
    </row>
    <row r="395">
      <c r="A395" s="5"/>
      <c r="B395" s="5"/>
      <c r="E395" s="108"/>
    </row>
    <row r="396">
      <c r="A396" s="5"/>
      <c r="B396" s="5"/>
      <c r="E396" s="108"/>
    </row>
    <row r="397">
      <c r="A397" s="5"/>
      <c r="B397" s="5"/>
      <c r="E397" s="108"/>
    </row>
    <row r="398">
      <c r="A398" s="5"/>
      <c r="B398" s="5"/>
      <c r="E398" s="108"/>
    </row>
    <row r="399">
      <c r="A399" s="5"/>
      <c r="B399" s="5"/>
      <c r="E399" s="108"/>
    </row>
    <row r="400">
      <c r="A400" s="5"/>
      <c r="B400" s="5"/>
      <c r="E400" s="108"/>
    </row>
    <row r="401">
      <c r="A401" s="5"/>
      <c r="B401" s="5"/>
      <c r="E401" s="108"/>
    </row>
    <row r="402">
      <c r="A402" s="5"/>
      <c r="B402" s="5"/>
      <c r="E402" s="108"/>
    </row>
    <row r="403">
      <c r="A403" s="5"/>
      <c r="B403" s="5"/>
      <c r="E403" s="108"/>
    </row>
    <row r="404">
      <c r="A404" s="5"/>
      <c r="B404" s="5"/>
      <c r="E404" s="108"/>
    </row>
    <row r="405">
      <c r="A405" s="5"/>
      <c r="B405" s="5"/>
      <c r="E405" s="108"/>
    </row>
    <row r="406">
      <c r="A406" s="5"/>
      <c r="B406" s="5"/>
      <c r="E406" s="108"/>
    </row>
    <row r="407">
      <c r="A407" s="5"/>
      <c r="B407" s="5"/>
      <c r="E407" s="108"/>
    </row>
    <row r="408">
      <c r="A408" s="5"/>
      <c r="B408" s="5"/>
      <c r="E408" s="108"/>
    </row>
    <row r="409">
      <c r="A409" s="5"/>
      <c r="B409" s="5"/>
      <c r="E409" s="108"/>
    </row>
    <row r="410">
      <c r="A410" s="5"/>
      <c r="B410" s="5"/>
      <c r="E410" s="108"/>
    </row>
    <row r="411">
      <c r="A411" s="5"/>
      <c r="B411" s="5"/>
      <c r="E411" s="108"/>
    </row>
    <row r="412">
      <c r="A412" s="5"/>
      <c r="B412" s="5"/>
      <c r="E412" s="108"/>
    </row>
    <row r="413">
      <c r="A413" s="5"/>
      <c r="B413" s="5"/>
      <c r="E413" s="108"/>
    </row>
    <row r="414">
      <c r="A414" s="5"/>
      <c r="B414" s="5"/>
      <c r="E414" s="108"/>
    </row>
    <row r="415">
      <c r="A415" s="5"/>
      <c r="B415" s="5"/>
      <c r="E415" s="108"/>
    </row>
    <row r="416">
      <c r="A416" s="5"/>
      <c r="B416" s="5"/>
      <c r="E416" s="108"/>
    </row>
    <row r="417">
      <c r="A417" s="5"/>
      <c r="B417" s="5"/>
      <c r="E417" s="108"/>
    </row>
    <row r="418">
      <c r="A418" s="5"/>
      <c r="B418" s="5"/>
      <c r="E418" s="108"/>
    </row>
    <row r="419">
      <c r="A419" s="5"/>
      <c r="B419" s="5"/>
      <c r="E419" s="108"/>
    </row>
    <row r="420">
      <c r="A420" s="5"/>
      <c r="B420" s="5"/>
      <c r="E420" s="108"/>
    </row>
    <row r="421">
      <c r="A421" s="5"/>
      <c r="B421" s="5"/>
      <c r="E421" s="108"/>
    </row>
    <row r="422">
      <c r="A422" s="5"/>
      <c r="B422" s="5"/>
      <c r="E422" s="108"/>
    </row>
    <row r="423">
      <c r="A423" s="5"/>
      <c r="B423" s="5"/>
      <c r="E423" s="108"/>
    </row>
    <row r="424">
      <c r="A424" s="5"/>
      <c r="B424" s="5"/>
      <c r="E424" s="108"/>
    </row>
    <row r="425">
      <c r="A425" s="5"/>
      <c r="B425" s="5"/>
      <c r="E425" s="108"/>
    </row>
    <row r="426">
      <c r="A426" s="5"/>
      <c r="B426" s="5"/>
      <c r="E426" s="108"/>
    </row>
    <row r="427">
      <c r="A427" s="5"/>
      <c r="B427" s="5"/>
      <c r="E427" s="108"/>
    </row>
    <row r="428">
      <c r="A428" s="5"/>
      <c r="B428" s="5"/>
      <c r="E428" s="108"/>
    </row>
    <row r="429">
      <c r="A429" s="5"/>
      <c r="B429" s="5"/>
      <c r="E429" s="108"/>
    </row>
    <row r="430">
      <c r="A430" s="5"/>
      <c r="B430" s="5"/>
      <c r="E430" s="108"/>
    </row>
    <row r="431">
      <c r="A431" s="5"/>
      <c r="B431" s="5"/>
      <c r="E431" s="108"/>
    </row>
    <row r="432">
      <c r="A432" s="5"/>
      <c r="B432" s="5"/>
      <c r="E432" s="108"/>
    </row>
    <row r="433">
      <c r="A433" s="5"/>
      <c r="B433" s="5"/>
      <c r="E433" s="108"/>
    </row>
    <row r="434">
      <c r="A434" s="5"/>
      <c r="B434" s="5"/>
      <c r="E434" s="108"/>
    </row>
    <row r="435">
      <c r="A435" s="5"/>
      <c r="B435" s="5"/>
      <c r="E435" s="108"/>
    </row>
    <row r="436">
      <c r="A436" s="5"/>
      <c r="B436" s="5"/>
      <c r="E436" s="108"/>
    </row>
    <row r="437">
      <c r="A437" s="5"/>
      <c r="B437" s="5"/>
      <c r="E437" s="108"/>
    </row>
    <row r="438">
      <c r="A438" s="5"/>
      <c r="B438" s="5"/>
      <c r="E438" s="108"/>
    </row>
    <row r="439">
      <c r="A439" s="5"/>
      <c r="B439" s="5"/>
      <c r="E439" s="108"/>
    </row>
    <row r="440">
      <c r="A440" s="5"/>
      <c r="B440" s="5"/>
      <c r="E440" s="108"/>
    </row>
    <row r="441">
      <c r="A441" s="5"/>
      <c r="B441" s="5"/>
      <c r="E441" s="108"/>
    </row>
    <row r="442">
      <c r="A442" s="5"/>
      <c r="B442" s="5"/>
      <c r="E442" s="108"/>
    </row>
    <row r="443">
      <c r="A443" s="5"/>
      <c r="B443" s="5"/>
      <c r="E443" s="108"/>
    </row>
    <row r="444">
      <c r="A444" s="5"/>
      <c r="B444" s="5"/>
      <c r="E444" s="108"/>
    </row>
    <row r="445">
      <c r="A445" s="5"/>
      <c r="B445" s="5"/>
      <c r="E445" s="108"/>
    </row>
    <row r="446">
      <c r="A446" s="5"/>
      <c r="B446" s="5"/>
      <c r="E446" s="108"/>
    </row>
    <row r="447">
      <c r="A447" s="5"/>
      <c r="B447" s="5"/>
      <c r="E447" s="108"/>
    </row>
    <row r="448">
      <c r="A448" s="5"/>
      <c r="B448" s="5"/>
      <c r="E448" s="108"/>
    </row>
    <row r="449">
      <c r="A449" s="5"/>
      <c r="B449" s="5"/>
      <c r="E449" s="108"/>
    </row>
    <row r="450">
      <c r="A450" s="5"/>
      <c r="B450" s="5"/>
      <c r="E450" s="108"/>
    </row>
    <row r="451">
      <c r="A451" s="5"/>
      <c r="B451" s="5"/>
      <c r="E451" s="108"/>
    </row>
    <row r="452">
      <c r="A452" s="5"/>
      <c r="B452" s="5"/>
      <c r="E452" s="108"/>
    </row>
    <row r="453">
      <c r="A453" s="5"/>
      <c r="B453" s="5"/>
      <c r="E453" s="108"/>
    </row>
    <row r="454">
      <c r="A454" s="5"/>
      <c r="B454" s="5"/>
      <c r="E454" s="108"/>
    </row>
    <row r="455">
      <c r="A455" s="5"/>
      <c r="B455" s="5"/>
      <c r="E455" s="108"/>
    </row>
    <row r="456">
      <c r="A456" s="5"/>
      <c r="B456" s="5"/>
      <c r="E456" s="108"/>
    </row>
    <row r="457">
      <c r="A457" s="5"/>
      <c r="B457" s="5"/>
      <c r="E457" s="108"/>
    </row>
    <row r="458">
      <c r="A458" s="5"/>
      <c r="B458" s="5"/>
      <c r="E458" s="108"/>
    </row>
    <row r="459">
      <c r="A459" s="5"/>
      <c r="B459" s="5"/>
      <c r="E459" s="108"/>
    </row>
    <row r="460">
      <c r="A460" s="5"/>
      <c r="B460" s="5"/>
      <c r="E460" s="108"/>
    </row>
    <row r="461">
      <c r="A461" s="5"/>
      <c r="B461" s="5"/>
      <c r="E461" s="108"/>
    </row>
    <row r="462">
      <c r="A462" s="5"/>
      <c r="B462" s="5"/>
      <c r="E462" s="108"/>
    </row>
    <row r="463">
      <c r="A463" s="5"/>
      <c r="B463" s="5"/>
      <c r="E463" s="108"/>
    </row>
    <row r="464">
      <c r="A464" s="5"/>
      <c r="B464" s="5"/>
      <c r="E464" s="108"/>
    </row>
    <row r="465">
      <c r="A465" s="5"/>
      <c r="B465" s="5"/>
      <c r="E465" s="108"/>
    </row>
    <row r="466">
      <c r="A466" s="5"/>
      <c r="B466" s="5"/>
      <c r="E466" s="108"/>
    </row>
    <row r="467">
      <c r="A467" s="5"/>
      <c r="B467" s="5"/>
      <c r="E467" s="108"/>
    </row>
    <row r="468">
      <c r="A468" s="5"/>
      <c r="B468" s="5"/>
      <c r="E468" s="108"/>
    </row>
    <row r="469">
      <c r="A469" s="5"/>
      <c r="B469" s="5"/>
      <c r="E469" s="108"/>
    </row>
    <row r="470">
      <c r="A470" s="5"/>
      <c r="B470" s="5"/>
      <c r="E470" s="108"/>
    </row>
    <row r="471">
      <c r="A471" s="5"/>
      <c r="B471" s="5"/>
      <c r="E471" s="108"/>
    </row>
    <row r="472">
      <c r="A472" s="5"/>
      <c r="B472" s="5"/>
      <c r="E472" s="108"/>
    </row>
    <row r="473">
      <c r="A473" s="5"/>
      <c r="B473" s="5"/>
      <c r="E473" s="108"/>
    </row>
    <row r="474">
      <c r="A474" s="5"/>
      <c r="B474" s="5"/>
      <c r="E474" s="108"/>
    </row>
    <row r="475">
      <c r="A475" s="5"/>
      <c r="B475" s="5"/>
      <c r="E475" s="108"/>
    </row>
    <row r="476">
      <c r="A476" s="5"/>
      <c r="B476" s="5"/>
      <c r="E476" s="108"/>
    </row>
    <row r="477">
      <c r="A477" s="5"/>
      <c r="B477" s="5"/>
      <c r="E477" s="108"/>
    </row>
    <row r="478">
      <c r="A478" s="5"/>
      <c r="B478" s="5"/>
      <c r="E478" s="108"/>
    </row>
    <row r="479">
      <c r="A479" s="5"/>
      <c r="B479" s="5"/>
      <c r="E479" s="108"/>
    </row>
    <row r="480">
      <c r="A480" s="5"/>
      <c r="B480" s="5"/>
      <c r="E480" s="108"/>
    </row>
    <row r="481">
      <c r="A481" s="5"/>
      <c r="B481" s="5"/>
      <c r="E481" s="108"/>
    </row>
    <row r="482">
      <c r="A482" s="5"/>
      <c r="B482" s="5"/>
      <c r="E482" s="108"/>
    </row>
    <row r="483">
      <c r="A483" s="5"/>
      <c r="B483" s="5"/>
      <c r="E483" s="108"/>
    </row>
    <row r="484">
      <c r="A484" s="5"/>
      <c r="B484" s="5"/>
      <c r="E484" s="108"/>
    </row>
    <row r="485">
      <c r="A485" s="5"/>
      <c r="B485" s="5"/>
      <c r="E485" s="108"/>
    </row>
    <row r="486">
      <c r="A486" s="5"/>
      <c r="B486" s="5"/>
      <c r="E486" s="108"/>
    </row>
    <row r="487">
      <c r="A487" s="5"/>
      <c r="B487" s="5"/>
      <c r="E487" s="108"/>
    </row>
    <row r="488">
      <c r="A488" s="5"/>
      <c r="B488" s="5"/>
      <c r="E488" s="108"/>
    </row>
    <row r="489">
      <c r="A489" s="5"/>
      <c r="B489" s="5"/>
      <c r="E489" s="108"/>
    </row>
    <row r="490">
      <c r="A490" s="5"/>
      <c r="B490" s="5"/>
      <c r="E490" s="108"/>
    </row>
    <row r="491">
      <c r="A491" s="5"/>
      <c r="B491" s="5"/>
      <c r="E491" s="108"/>
    </row>
    <row r="492">
      <c r="A492" s="5"/>
      <c r="B492" s="5"/>
      <c r="E492" s="108"/>
    </row>
    <row r="493">
      <c r="A493" s="5"/>
      <c r="B493" s="5"/>
      <c r="E493" s="108"/>
    </row>
    <row r="494">
      <c r="A494" s="5"/>
      <c r="B494" s="5"/>
      <c r="E494" s="108"/>
    </row>
    <row r="495">
      <c r="A495" s="5"/>
      <c r="B495" s="5"/>
      <c r="E495" s="108"/>
    </row>
    <row r="496">
      <c r="A496" s="5"/>
      <c r="B496" s="5"/>
      <c r="E496" s="108"/>
    </row>
    <row r="497">
      <c r="A497" s="5"/>
      <c r="B497" s="5"/>
      <c r="E497" s="108"/>
    </row>
    <row r="498">
      <c r="A498" s="5"/>
      <c r="B498" s="5"/>
      <c r="E498" s="108"/>
    </row>
    <row r="499">
      <c r="A499" s="5"/>
      <c r="B499" s="5"/>
      <c r="E499" s="108"/>
    </row>
    <row r="500">
      <c r="A500" s="5"/>
      <c r="B500" s="5"/>
      <c r="E500" s="108"/>
    </row>
    <row r="501">
      <c r="A501" s="5"/>
      <c r="B501" s="5"/>
      <c r="E501" s="108"/>
    </row>
    <row r="502">
      <c r="A502" s="5"/>
      <c r="B502" s="5"/>
      <c r="E502" s="108"/>
    </row>
    <row r="503">
      <c r="A503" s="5"/>
      <c r="B503" s="5"/>
      <c r="E503" s="108"/>
    </row>
    <row r="504">
      <c r="A504" s="5"/>
      <c r="B504" s="5"/>
      <c r="E504" s="108"/>
    </row>
    <row r="505">
      <c r="A505" s="5"/>
      <c r="B505" s="5"/>
      <c r="E505" s="108"/>
    </row>
    <row r="506">
      <c r="A506" s="5"/>
      <c r="B506" s="5"/>
      <c r="E506" s="108"/>
    </row>
    <row r="507">
      <c r="A507" s="5"/>
      <c r="B507" s="5"/>
      <c r="E507" s="108"/>
    </row>
    <row r="508">
      <c r="A508" s="5"/>
      <c r="B508" s="5"/>
      <c r="E508" s="108"/>
    </row>
    <row r="509">
      <c r="A509" s="5"/>
      <c r="B509" s="5"/>
      <c r="E509" s="108"/>
    </row>
    <row r="510">
      <c r="A510" s="5"/>
      <c r="B510" s="5"/>
      <c r="E510" s="108"/>
    </row>
    <row r="511">
      <c r="A511" s="5"/>
      <c r="B511" s="5"/>
      <c r="E511" s="108"/>
    </row>
    <row r="512">
      <c r="A512" s="5"/>
      <c r="B512" s="5"/>
      <c r="E512" s="108"/>
    </row>
    <row r="513">
      <c r="A513" s="5"/>
      <c r="B513" s="5"/>
      <c r="E513" s="108"/>
    </row>
    <row r="514">
      <c r="A514" s="5"/>
      <c r="B514" s="5"/>
      <c r="E514" s="108"/>
    </row>
    <row r="515">
      <c r="A515" s="5"/>
      <c r="B515" s="5"/>
      <c r="E515" s="108"/>
    </row>
    <row r="516">
      <c r="A516" s="5"/>
      <c r="B516" s="5"/>
      <c r="E516" s="108"/>
    </row>
    <row r="517">
      <c r="A517" s="5"/>
      <c r="B517" s="5"/>
      <c r="E517" s="108"/>
    </row>
    <row r="518">
      <c r="A518" s="5"/>
      <c r="B518" s="5"/>
      <c r="E518" s="108"/>
    </row>
    <row r="519">
      <c r="A519" s="5"/>
      <c r="B519" s="5"/>
      <c r="E519" s="108"/>
    </row>
    <row r="520">
      <c r="A520" s="5"/>
      <c r="B520" s="5"/>
      <c r="E520" s="108"/>
    </row>
    <row r="521">
      <c r="A521" s="5"/>
      <c r="B521" s="5"/>
      <c r="E521" s="108"/>
    </row>
    <row r="522">
      <c r="A522" s="5"/>
      <c r="B522" s="5"/>
      <c r="E522" s="108"/>
    </row>
    <row r="523">
      <c r="A523" s="5"/>
      <c r="B523" s="5"/>
      <c r="E523" s="108"/>
    </row>
    <row r="524">
      <c r="A524" s="5"/>
      <c r="B524" s="5"/>
      <c r="E524" s="108"/>
    </row>
    <row r="525">
      <c r="A525" s="5"/>
      <c r="B525" s="5"/>
      <c r="E525" s="108"/>
    </row>
    <row r="526">
      <c r="A526" s="5"/>
      <c r="B526" s="5"/>
      <c r="E526" s="108"/>
    </row>
    <row r="527">
      <c r="A527" s="5"/>
      <c r="B527" s="5"/>
      <c r="E527" s="108"/>
    </row>
    <row r="528">
      <c r="A528" s="5"/>
      <c r="B528" s="5"/>
      <c r="E528" s="108"/>
    </row>
    <row r="529">
      <c r="A529" s="5"/>
      <c r="B529" s="5"/>
      <c r="E529" s="108"/>
    </row>
    <row r="530">
      <c r="A530" s="5"/>
      <c r="B530" s="5"/>
      <c r="E530" s="108"/>
    </row>
    <row r="531">
      <c r="A531" s="5"/>
      <c r="B531" s="5"/>
      <c r="E531" s="108"/>
    </row>
    <row r="532">
      <c r="A532" s="5"/>
      <c r="B532" s="5"/>
      <c r="E532" s="108"/>
    </row>
    <row r="533">
      <c r="A533" s="5"/>
      <c r="B533" s="5"/>
      <c r="E533" s="108"/>
    </row>
    <row r="534">
      <c r="A534" s="5"/>
      <c r="B534" s="5"/>
      <c r="E534" s="108"/>
    </row>
    <row r="535">
      <c r="A535" s="5"/>
      <c r="B535" s="5"/>
      <c r="E535" s="108"/>
    </row>
    <row r="536">
      <c r="A536" s="5"/>
      <c r="B536" s="5"/>
      <c r="E536" s="108"/>
    </row>
    <row r="537">
      <c r="A537" s="5"/>
      <c r="B537" s="5"/>
      <c r="E537" s="108"/>
    </row>
    <row r="538">
      <c r="A538" s="5"/>
      <c r="B538" s="5"/>
      <c r="E538" s="108"/>
    </row>
    <row r="539">
      <c r="A539" s="5"/>
      <c r="B539" s="5"/>
      <c r="E539" s="108"/>
    </row>
    <row r="540">
      <c r="A540" s="5"/>
      <c r="B540" s="5"/>
      <c r="E540" s="108"/>
    </row>
    <row r="541">
      <c r="A541" s="5"/>
      <c r="B541" s="5"/>
      <c r="E541" s="108"/>
    </row>
    <row r="542">
      <c r="A542" s="5"/>
      <c r="B542" s="5"/>
      <c r="E542" s="108"/>
    </row>
    <row r="543">
      <c r="A543" s="5"/>
      <c r="B543" s="5"/>
      <c r="E543" s="108"/>
    </row>
    <row r="544">
      <c r="A544" s="5"/>
      <c r="B544" s="5"/>
      <c r="E544" s="108"/>
    </row>
    <row r="545">
      <c r="A545" s="5"/>
      <c r="B545" s="5"/>
      <c r="E545" s="108"/>
    </row>
    <row r="546">
      <c r="A546" s="5"/>
      <c r="B546" s="5"/>
      <c r="E546" s="108"/>
    </row>
    <row r="547">
      <c r="A547" s="5"/>
      <c r="B547" s="5"/>
      <c r="E547" s="108"/>
    </row>
    <row r="548">
      <c r="A548" s="5"/>
      <c r="B548" s="5"/>
      <c r="E548" s="108"/>
    </row>
    <row r="549">
      <c r="A549" s="5"/>
      <c r="B549" s="5"/>
      <c r="E549" s="108"/>
    </row>
    <row r="550">
      <c r="A550" s="5"/>
      <c r="B550" s="5"/>
      <c r="E550" s="108"/>
    </row>
    <row r="551">
      <c r="A551" s="5"/>
      <c r="B551" s="5"/>
      <c r="E551" s="108"/>
    </row>
    <row r="552">
      <c r="A552" s="5"/>
      <c r="B552" s="5"/>
      <c r="E552" s="108"/>
    </row>
    <row r="553">
      <c r="A553" s="5"/>
      <c r="B553" s="5"/>
      <c r="E553" s="108"/>
    </row>
    <row r="554">
      <c r="A554" s="5"/>
      <c r="B554" s="5"/>
      <c r="E554" s="108"/>
    </row>
    <row r="555">
      <c r="A555" s="5"/>
      <c r="B555" s="5"/>
      <c r="E555" s="108"/>
    </row>
    <row r="556">
      <c r="A556" s="5"/>
      <c r="B556" s="5"/>
      <c r="E556" s="108"/>
    </row>
    <row r="557">
      <c r="A557" s="5"/>
      <c r="B557" s="5"/>
      <c r="E557" s="108"/>
    </row>
    <row r="558">
      <c r="A558" s="5"/>
      <c r="B558" s="5"/>
      <c r="E558" s="108"/>
    </row>
    <row r="559">
      <c r="A559" s="5"/>
      <c r="B559" s="5"/>
      <c r="E559" s="108"/>
    </row>
    <row r="560">
      <c r="A560" s="5"/>
      <c r="B560" s="5"/>
      <c r="E560" s="108"/>
    </row>
    <row r="561">
      <c r="A561" s="5"/>
      <c r="B561" s="5"/>
      <c r="E561" s="108"/>
    </row>
    <row r="562">
      <c r="A562" s="5"/>
      <c r="B562" s="5"/>
      <c r="E562" s="108"/>
    </row>
    <row r="563">
      <c r="A563" s="5"/>
      <c r="B563" s="5"/>
      <c r="E563" s="108"/>
    </row>
    <row r="564">
      <c r="A564" s="5"/>
      <c r="B564" s="5"/>
      <c r="E564" s="108"/>
    </row>
    <row r="565">
      <c r="A565" s="5"/>
      <c r="B565" s="5"/>
      <c r="E565" s="108"/>
    </row>
    <row r="566">
      <c r="A566" s="5"/>
      <c r="B566" s="5"/>
      <c r="E566" s="108"/>
    </row>
    <row r="567">
      <c r="A567" s="5"/>
      <c r="B567" s="5"/>
      <c r="E567" s="108"/>
    </row>
    <row r="568">
      <c r="A568" s="5"/>
      <c r="B568" s="5"/>
      <c r="E568" s="108"/>
    </row>
    <row r="569">
      <c r="A569" s="5"/>
      <c r="B569" s="5"/>
      <c r="E569" s="108"/>
    </row>
    <row r="570">
      <c r="A570" s="5"/>
      <c r="B570" s="5"/>
      <c r="E570" s="108"/>
    </row>
    <row r="571">
      <c r="A571" s="5"/>
      <c r="B571" s="5"/>
      <c r="E571" s="108"/>
    </row>
    <row r="572">
      <c r="A572" s="5"/>
      <c r="B572" s="5"/>
      <c r="E572" s="108"/>
    </row>
    <row r="573">
      <c r="A573" s="5"/>
      <c r="B573" s="5"/>
      <c r="E573" s="108"/>
    </row>
    <row r="574">
      <c r="A574" s="5"/>
      <c r="B574" s="5"/>
      <c r="E574" s="108"/>
    </row>
    <row r="575">
      <c r="A575" s="5"/>
      <c r="B575" s="5"/>
      <c r="E575" s="108"/>
    </row>
    <row r="576">
      <c r="A576" s="5"/>
      <c r="B576" s="5"/>
      <c r="E576" s="108"/>
    </row>
    <row r="577">
      <c r="A577" s="5"/>
      <c r="B577" s="5"/>
      <c r="E577" s="108"/>
    </row>
    <row r="578">
      <c r="A578" s="5"/>
      <c r="B578" s="5"/>
      <c r="E578" s="108"/>
    </row>
    <row r="579">
      <c r="A579" s="5"/>
      <c r="B579" s="5"/>
      <c r="E579" s="108"/>
    </row>
    <row r="580">
      <c r="A580" s="5"/>
      <c r="B580" s="5"/>
      <c r="E580" s="108"/>
    </row>
    <row r="581">
      <c r="A581" s="5"/>
      <c r="B581" s="5"/>
      <c r="E581" s="108"/>
    </row>
    <row r="582">
      <c r="A582" s="5"/>
      <c r="B582" s="5"/>
      <c r="E582" s="108"/>
    </row>
    <row r="583">
      <c r="A583" s="5"/>
      <c r="B583" s="5"/>
      <c r="E583" s="108"/>
    </row>
    <row r="584">
      <c r="A584" s="5"/>
      <c r="B584" s="5"/>
      <c r="E584" s="108"/>
    </row>
    <row r="585">
      <c r="A585" s="5"/>
      <c r="B585" s="5"/>
      <c r="E585" s="108"/>
    </row>
    <row r="586">
      <c r="A586" s="5"/>
      <c r="B586" s="5"/>
      <c r="E586" s="108"/>
    </row>
    <row r="587">
      <c r="A587" s="5"/>
      <c r="B587" s="5"/>
      <c r="E587" s="108"/>
    </row>
    <row r="588">
      <c r="A588" s="5"/>
      <c r="B588" s="5"/>
      <c r="E588" s="108"/>
    </row>
    <row r="589">
      <c r="A589" s="5"/>
      <c r="B589" s="5"/>
      <c r="E589" s="108"/>
    </row>
    <row r="590">
      <c r="A590" s="5"/>
      <c r="B590" s="5"/>
      <c r="E590" s="108"/>
    </row>
    <row r="591">
      <c r="A591" s="5"/>
      <c r="B591" s="5"/>
      <c r="E591" s="108"/>
    </row>
    <row r="592">
      <c r="A592" s="5"/>
      <c r="B592" s="5"/>
      <c r="E592" s="108"/>
    </row>
    <row r="593">
      <c r="A593" s="5"/>
      <c r="B593" s="5"/>
      <c r="E593" s="108"/>
    </row>
    <row r="594">
      <c r="A594" s="5"/>
      <c r="B594" s="5"/>
      <c r="E594" s="108"/>
    </row>
    <row r="595">
      <c r="A595" s="5"/>
      <c r="B595" s="5"/>
      <c r="E595" s="108"/>
    </row>
    <row r="596">
      <c r="A596" s="5"/>
      <c r="B596" s="5"/>
      <c r="E596" s="108"/>
    </row>
    <row r="597">
      <c r="A597" s="5"/>
      <c r="B597" s="5"/>
      <c r="E597" s="108"/>
    </row>
    <row r="598">
      <c r="A598" s="5"/>
      <c r="B598" s="5"/>
      <c r="E598" s="108"/>
    </row>
    <row r="599">
      <c r="A599" s="5"/>
      <c r="B599" s="5"/>
      <c r="E599" s="108"/>
    </row>
    <row r="600">
      <c r="A600" s="5"/>
      <c r="B600" s="5"/>
      <c r="E600" s="108"/>
    </row>
    <row r="601">
      <c r="A601" s="5"/>
      <c r="B601" s="5"/>
      <c r="E601" s="108"/>
    </row>
    <row r="602">
      <c r="A602" s="5"/>
      <c r="B602" s="5"/>
      <c r="E602" s="108"/>
    </row>
    <row r="603">
      <c r="A603" s="5"/>
      <c r="B603" s="5"/>
      <c r="E603" s="108"/>
    </row>
    <row r="604">
      <c r="A604" s="5"/>
      <c r="B604" s="5"/>
      <c r="E604" s="108"/>
    </row>
    <row r="605">
      <c r="A605" s="5"/>
      <c r="B605" s="5"/>
      <c r="E605" s="108"/>
    </row>
    <row r="606">
      <c r="A606" s="5"/>
      <c r="B606" s="5"/>
      <c r="E606" s="108"/>
    </row>
    <row r="607">
      <c r="A607" s="5"/>
      <c r="B607" s="5"/>
      <c r="E607" s="108"/>
    </row>
    <row r="608">
      <c r="A608" s="5"/>
      <c r="B608" s="5"/>
      <c r="E608" s="108"/>
    </row>
    <row r="609">
      <c r="A609" s="5"/>
      <c r="B609" s="5"/>
      <c r="E609" s="108"/>
    </row>
    <row r="610">
      <c r="A610" s="5"/>
      <c r="B610" s="5"/>
      <c r="E610" s="108"/>
    </row>
    <row r="611">
      <c r="A611" s="5"/>
      <c r="B611" s="5"/>
      <c r="E611" s="108"/>
    </row>
    <row r="612">
      <c r="A612" s="5"/>
      <c r="B612" s="5"/>
      <c r="E612" s="108"/>
    </row>
    <row r="613">
      <c r="A613" s="5"/>
      <c r="B613" s="5"/>
      <c r="E613" s="108"/>
    </row>
    <row r="614">
      <c r="A614" s="5"/>
      <c r="B614" s="5"/>
      <c r="E614" s="108"/>
    </row>
    <row r="615">
      <c r="A615" s="5"/>
      <c r="B615" s="5"/>
      <c r="E615" s="108"/>
    </row>
    <row r="616">
      <c r="A616" s="5"/>
      <c r="B616" s="5"/>
      <c r="E616" s="108"/>
    </row>
    <row r="617">
      <c r="A617" s="5"/>
      <c r="B617" s="5"/>
      <c r="E617" s="108"/>
    </row>
    <row r="618">
      <c r="A618" s="5"/>
      <c r="B618" s="5"/>
      <c r="E618" s="108"/>
    </row>
    <row r="619">
      <c r="A619" s="5"/>
      <c r="B619" s="5"/>
      <c r="E619" s="108"/>
    </row>
    <row r="620">
      <c r="A620" s="5"/>
      <c r="B620" s="5"/>
      <c r="E620" s="108"/>
    </row>
    <row r="621">
      <c r="A621" s="5"/>
      <c r="B621" s="5"/>
      <c r="E621" s="108"/>
    </row>
    <row r="622">
      <c r="A622" s="5"/>
      <c r="B622" s="5"/>
      <c r="E622" s="108"/>
    </row>
    <row r="623">
      <c r="A623" s="5"/>
      <c r="B623" s="5"/>
      <c r="E623" s="108"/>
    </row>
    <row r="624">
      <c r="A624" s="5"/>
      <c r="B624" s="5"/>
      <c r="E624" s="108"/>
    </row>
    <row r="625">
      <c r="A625" s="5"/>
      <c r="B625" s="5"/>
      <c r="E625" s="108"/>
    </row>
    <row r="626">
      <c r="A626" s="5"/>
      <c r="B626" s="5"/>
      <c r="E626" s="108"/>
    </row>
    <row r="627">
      <c r="A627" s="5"/>
      <c r="B627" s="5"/>
      <c r="E627" s="108"/>
    </row>
    <row r="628">
      <c r="A628" s="5"/>
      <c r="B628" s="5"/>
      <c r="E628" s="108"/>
    </row>
    <row r="629">
      <c r="A629" s="5"/>
      <c r="B629" s="5"/>
      <c r="E629" s="108"/>
    </row>
    <row r="630">
      <c r="A630" s="5"/>
      <c r="B630" s="5"/>
      <c r="E630" s="108"/>
    </row>
    <row r="631">
      <c r="A631" s="5"/>
      <c r="B631" s="5"/>
      <c r="E631" s="108"/>
    </row>
    <row r="632">
      <c r="A632" s="5"/>
      <c r="B632" s="5"/>
      <c r="E632" s="108"/>
    </row>
    <row r="633">
      <c r="A633" s="5"/>
      <c r="B633" s="5"/>
      <c r="E633" s="108"/>
    </row>
    <row r="634">
      <c r="A634" s="5"/>
      <c r="B634" s="5"/>
      <c r="E634" s="108"/>
    </row>
    <row r="635">
      <c r="A635" s="5"/>
      <c r="B635" s="5"/>
      <c r="E635" s="108"/>
    </row>
    <row r="636">
      <c r="A636" s="5"/>
      <c r="B636" s="5"/>
      <c r="E636" s="108"/>
    </row>
    <row r="637">
      <c r="A637" s="5"/>
      <c r="B637" s="5"/>
      <c r="E637" s="108"/>
    </row>
    <row r="638">
      <c r="A638" s="5"/>
      <c r="B638" s="5"/>
      <c r="E638" s="108"/>
    </row>
    <row r="639">
      <c r="A639" s="5"/>
      <c r="B639" s="5"/>
      <c r="E639" s="108"/>
    </row>
    <row r="640">
      <c r="A640" s="5"/>
      <c r="B640" s="5"/>
      <c r="E640" s="108"/>
    </row>
    <row r="641">
      <c r="A641" s="5"/>
      <c r="B641" s="5"/>
      <c r="E641" s="108"/>
    </row>
    <row r="642">
      <c r="A642" s="5"/>
      <c r="B642" s="5"/>
      <c r="E642" s="108"/>
    </row>
    <row r="643">
      <c r="A643" s="5"/>
      <c r="B643" s="5"/>
      <c r="E643" s="108"/>
    </row>
    <row r="644">
      <c r="A644" s="5"/>
      <c r="B644" s="5"/>
      <c r="E644" s="108"/>
    </row>
    <row r="645">
      <c r="A645" s="5"/>
      <c r="B645" s="5"/>
      <c r="E645" s="108"/>
    </row>
    <row r="646">
      <c r="A646" s="5"/>
      <c r="B646" s="5"/>
      <c r="E646" s="108"/>
    </row>
    <row r="647">
      <c r="A647" s="5"/>
      <c r="B647" s="5"/>
      <c r="E647" s="108"/>
    </row>
    <row r="648">
      <c r="A648" s="5"/>
      <c r="B648" s="5"/>
      <c r="E648" s="108"/>
    </row>
    <row r="649">
      <c r="A649" s="5"/>
      <c r="B649" s="5"/>
      <c r="E649" s="108"/>
    </row>
    <row r="650">
      <c r="A650" s="5"/>
      <c r="B650" s="5"/>
      <c r="E650" s="108"/>
    </row>
    <row r="651">
      <c r="A651" s="5"/>
      <c r="B651" s="5"/>
      <c r="E651" s="108"/>
    </row>
    <row r="652">
      <c r="A652" s="5"/>
      <c r="B652" s="5"/>
      <c r="E652" s="108"/>
    </row>
    <row r="653">
      <c r="A653" s="5"/>
      <c r="B653" s="5"/>
      <c r="E653" s="108"/>
    </row>
    <row r="654">
      <c r="A654" s="5"/>
      <c r="B654" s="5"/>
      <c r="E654" s="108"/>
    </row>
    <row r="655">
      <c r="A655" s="5"/>
      <c r="B655" s="5"/>
      <c r="E655" s="108"/>
    </row>
    <row r="656">
      <c r="A656" s="5"/>
      <c r="B656" s="5"/>
      <c r="E656" s="108"/>
    </row>
    <row r="657">
      <c r="A657" s="5"/>
      <c r="B657" s="5"/>
      <c r="E657" s="108"/>
    </row>
    <row r="658">
      <c r="A658" s="5"/>
      <c r="B658" s="5"/>
      <c r="E658" s="108"/>
    </row>
    <row r="659">
      <c r="A659" s="5"/>
      <c r="B659" s="5"/>
      <c r="E659" s="108"/>
    </row>
    <row r="660">
      <c r="A660" s="5"/>
      <c r="B660" s="5"/>
      <c r="E660" s="108"/>
    </row>
    <row r="661">
      <c r="A661" s="5"/>
      <c r="B661" s="5"/>
      <c r="E661" s="108"/>
    </row>
    <row r="662">
      <c r="A662" s="5"/>
      <c r="B662" s="5"/>
      <c r="E662" s="108"/>
    </row>
    <row r="663">
      <c r="A663" s="5"/>
      <c r="B663" s="5"/>
      <c r="E663" s="108"/>
    </row>
    <row r="664">
      <c r="A664" s="5"/>
      <c r="B664" s="5"/>
      <c r="E664" s="108"/>
    </row>
    <row r="665">
      <c r="A665" s="5"/>
      <c r="B665" s="5"/>
      <c r="E665" s="108"/>
    </row>
    <row r="666">
      <c r="A666" s="5"/>
      <c r="B666" s="5"/>
      <c r="E666" s="108"/>
    </row>
    <row r="667">
      <c r="A667" s="5"/>
      <c r="B667" s="5"/>
      <c r="E667" s="108"/>
    </row>
    <row r="668">
      <c r="A668" s="5"/>
      <c r="B668" s="5"/>
      <c r="E668" s="108"/>
    </row>
    <row r="669">
      <c r="A669" s="5"/>
      <c r="B669" s="5"/>
      <c r="E669" s="108"/>
    </row>
    <row r="670">
      <c r="A670" s="5"/>
      <c r="B670" s="5"/>
      <c r="E670" s="108"/>
    </row>
    <row r="671">
      <c r="A671" s="5"/>
      <c r="B671" s="5"/>
      <c r="E671" s="108"/>
    </row>
    <row r="672">
      <c r="A672" s="5"/>
      <c r="B672" s="5"/>
      <c r="E672" s="108"/>
    </row>
    <row r="673">
      <c r="A673" s="5"/>
      <c r="B673" s="5"/>
      <c r="E673" s="108"/>
    </row>
    <row r="674">
      <c r="A674" s="5"/>
      <c r="B674" s="5"/>
      <c r="E674" s="108"/>
    </row>
    <row r="675">
      <c r="A675" s="5"/>
      <c r="B675" s="5"/>
      <c r="E675" s="108"/>
    </row>
    <row r="676">
      <c r="A676" s="5"/>
      <c r="B676" s="5"/>
      <c r="E676" s="108"/>
    </row>
    <row r="677">
      <c r="A677" s="5"/>
      <c r="B677" s="5"/>
      <c r="E677" s="108"/>
    </row>
    <row r="678">
      <c r="A678" s="5"/>
      <c r="B678" s="5"/>
      <c r="E678" s="108"/>
    </row>
    <row r="679">
      <c r="A679" s="5"/>
      <c r="B679" s="5"/>
      <c r="E679" s="108"/>
    </row>
    <row r="680">
      <c r="A680" s="5"/>
      <c r="B680" s="5"/>
      <c r="E680" s="108"/>
    </row>
    <row r="681">
      <c r="A681" s="5"/>
      <c r="B681" s="5"/>
      <c r="E681" s="108"/>
    </row>
    <row r="682">
      <c r="A682" s="5"/>
      <c r="B682" s="5"/>
      <c r="E682" s="108"/>
    </row>
    <row r="683">
      <c r="A683" s="5"/>
      <c r="B683" s="5"/>
      <c r="E683" s="108"/>
    </row>
    <row r="684">
      <c r="A684" s="5"/>
      <c r="B684" s="5"/>
      <c r="E684" s="108"/>
    </row>
    <row r="685">
      <c r="A685" s="5"/>
      <c r="B685" s="5"/>
      <c r="E685" s="108"/>
    </row>
    <row r="686">
      <c r="A686" s="5"/>
      <c r="B686" s="5"/>
      <c r="E686" s="108"/>
    </row>
    <row r="687">
      <c r="A687" s="5"/>
      <c r="B687" s="5"/>
      <c r="E687" s="108"/>
    </row>
    <row r="688">
      <c r="A688" s="5"/>
      <c r="B688" s="5"/>
      <c r="E688" s="108"/>
    </row>
    <row r="689">
      <c r="A689" s="5"/>
      <c r="B689" s="5"/>
      <c r="E689" s="108"/>
    </row>
    <row r="690">
      <c r="A690" s="5"/>
      <c r="B690" s="5"/>
      <c r="E690" s="108"/>
    </row>
    <row r="691">
      <c r="A691" s="5"/>
      <c r="B691" s="5"/>
      <c r="E691" s="108"/>
    </row>
    <row r="692">
      <c r="A692" s="5"/>
      <c r="B692" s="5"/>
      <c r="E692" s="108"/>
    </row>
    <row r="693">
      <c r="A693" s="5"/>
      <c r="B693" s="5"/>
      <c r="E693" s="108"/>
    </row>
    <row r="694">
      <c r="A694" s="5"/>
      <c r="B694" s="5"/>
      <c r="E694" s="108"/>
    </row>
    <row r="695">
      <c r="A695" s="5"/>
      <c r="B695" s="5"/>
      <c r="E695" s="108"/>
    </row>
    <row r="696">
      <c r="A696" s="5"/>
      <c r="B696" s="5"/>
      <c r="E696" s="108"/>
    </row>
    <row r="697">
      <c r="A697" s="5"/>
      <c r="B697" s="5"/>
      <c r="E697" s="108"/>
    </row>
    <row r="698">
      <c r="A698" s="5"/>
      <c r="B698" s="5"/>
      <c r="E698" s="108"/>
    </row>
    <row r="699">
      <c r="A699" s="5"/>
      <c r="B699" s="5"/>
      <c r="E699" s="108"/>
    </row>
    <row r="700">
      <c r="A700" s="5"/>
      <c r="B700" s="5"/>
      <c r="E700" s="108"/>
    </row>
    <row r="701">
      <c r="A701" s="5"/>
      <c r="B701" s="5"/>
      <c r="E701" s="108"/>
    </row>
    <row r="702">
      <c r="A702" s="5"/>
      <c r="B702" s="5"/>
      <c r="E702" s="108"/>
    </row>
    <row r="703">
      <c r="A703" s="5"/>
      <c r="B703" s="5"/>
      <c r="E703" s="108"/>
    </row>
    <row r="704">
      <c r="A704" s="5"/>
      <c r="B704" s="5"/>
      <c r="E704" s="108"/>
    </row>
    <row r="705">
      <c r="A705" s="5"/>
      <c r="B705" s="5"/>
      <c r="E705" s="108"/>
    </row>
    <row r="706">
      <c r="A706" s="5"/>
      <c r="B706" s="5"/>
      <c r="E706" s="108"/>
    </row>
    <row r="707">
      <c r="A707" s="5"/>
      <c r="B707" s="5"/>
      <c r="E707" s="108"/>
    </row>
    <row r="708">
      <c r="A708" s="5"/>
      <c r="B708" s="5"/>
      <c r="E708" s="108"/>
    </row>
    <row r="709">
      <c r="A709" s="5"/>
      <c r="B709" s="5"/>
      <c r="E709" s="108"/>
    </row>
    <row r="710">
      <c r="A710" s="5"/>
      <c r="B710" s="5"/>
      <c r="E710" s="108"/>
    </row>
    <row r="711">
      <c r="A711" s="5"/>
      <c r="B711" s="5"/>
      <c r="E711" s="108"/>
    </row>
    <row r="712">
      <c r="A712" s="5"/>
      <c r="B712" s="5"/>
      <c r="E712" s="108"/>
    </row>
    <row r="713">
      <c r="A713" s="5"/>
      <c r="B713" s="5"/>
      <c r="E713" s="108"/>
    </row>
    <row r="714">
      <c r="A714" s="5"/>
      <c r="B714" s="5"/>
      <c r="E714" s="108"/>
    </row>
    <row r="715">
      <c r="A715" s="5"/>
      <c r="B715" s="5"/>
      <c r="E715" s="108"/>
    </row>
    <row r="716">
      <c r="A716" s="5"/>
      <c r="B716" s="5"/>
      <c r="E716" s="108"/>
    </row>
    <row r="717">
      <c r="A717" s="5"/>
      <c r="B717" s="5"/>
      <c r="E717" s="108"/>
    </row>
    <row r="718">
      <c r="A718" s="5"/>
      <c r="B718" s="5"/>
      <c r="E718" s="108"/>
    </row>
    <row r="719">
      <c r="A719" s="5"/>
      <c r="B719" s="5"/>
      <c r="E719" s="108"/>
    </row>
    <row r="720">
      <c r="A720" s="5"/>
      <c r="B720" s="5"/>
      <c r="E720" s="108"/>
    </row>
    <row r="721">
      <c r="A721" s="5"/>
      <c r="B721" s="5"/>
      <c r="E721" s="108"/>
    </row>
    <row r="722">
      <c r="A722" s="5"/>
      <c r="B722" s="5"/>
      <c r="E722" s="108"/>
    </row>
    <row r="723">
      <c r="A723" s="5"/>
      <c r="B723" s="5"/>
      <c r="E723" s="108"/>
    </row>
    <row r="724">
      <c r="A724" s="5"/>
      <c r="B724" s="5"/>
      <c r="E724" s="108"/>
    </row>
    <row r="725">
      <c r="A725" s="5"/>
      <c r="B725" s="5"/>
      <c r="E725" s="108"/>
    </row>
    <row r="726">
      <c r="A726" s="5"/>
      <c r="B726" s="5"/>
      <c r="E726" s="108"/>
    </row>
    <row r="727">
      <c r="A727" s="5"/>
      <c r="B727" s="5"/>
      <c r="E727" s="108"/>
    </row>
    <row r="728">
      <c r="A728" s="5"/>
      <c r="B728" s="5"/>
      <c r="E728" s="108"/>
    </row>
    <row r="729">
      <c r="A729" s="5"/>
      <c r="B729" s="5"/>
      <c r="E729" s="108"/>
    </row>
    <row r="730">
      <c r="A730" s="5"/>
      <c r="B730" s="5"/>
      <c r="E730" s="108"/>
    </row>
    <row r="731">
      <c r="A731" s="5"/>
      <c r="B731" s="5"/>
      <c r="E731" s="108"/>
    </row>
    <row r="732">
      <c r="A732" s="5"/>
      <c r="B732" s="5"/>
      <c r="E732" s="108"/>
    </row>
    <row r="733">
      <c r="A733" s="5"/>
      <c r="B733" s="5"/>
      <c r="E733" s="108"/>
    </row>
    <row r="734">
      <c r="A734" s="5"/>
      <c r="B734" s="5"/>
      <c r="E734" s="108"/>
    </row>
    <row r="735">
      <c r="A735" s="5"/>
      <c r="B735" s="5"/>
      <c r="E735" s="108"/>
    </row>
    <row r="736">
      <c r="A736" s="5"/>
      <c r="B736" s="5"/>
      <c r="E736" s="108"/>
    </row>
    <row r="737">
      <c r="A737" s="5"/>
      <c r="B737" s="5"/>
      <c r="E737" s="108"/>
    </row>
    <row r="738">
      <c r="A738" s="5"/>
      <c r="B738" s="5"/>
      <c r="E738" s="108"/>
    </row>
    <row r="739">
      <c r="A739" s="5"/>
      <c r="B739" s="5"/>
      <c r="E739" s="108"/>
    </row>
    <row r="740">
      <c r="A740" s="5"/>
      <c r="B740" s="5"/>
      <c r="E740" s="108"/>
    </row>
    <row r="741">
      <c r="A741" s="5"/>
      <c r="B741" s="5"/>
      <c r="E741" s="108"/>
    </row>
    <row r="742">
      <c r="A742" s="5"/>
      <c r="B742" s="5"/>
      <c r="E742" s="108"/>
    </row>
    <row r="743">
      <c r="A743" s="5"/>
      <c r="B743" s="5"/>
      <c r="E743" s="108"/>
    </row>
    <row r="744">
      <c r="A744" s="5"/>
      <c r="B744" s="5"/>
      <c r="E744" s="108"/>
    </row>
    <row r="745">
      <c r="A745" s="5"/>
      <c r="B745" s="5"/>
      <c r="E745" s="108"/>
    </row>
    <row r="746">
      <c r="A746" s="5"/>
      <c r="B746" s="5"/>
      <c r="E746" s="108"/>
    </row>
    <row r="747">
      <c r="A747" s="5"/>
      <c r="B747" s="5"/>
      <c r="E747" s="108"/>
    </row>
    <row r="748">
      <c r="A748" s="5"/>
      <c r="B748" s="5"/>
      <c r="E748" s="108"/>
    </row>
    <row r="749">
      <c r="A749" s="5"/>
      <c r="B749" s="5"/>
      <c r="E749" s="108"/>
    </row>
    <row r="750">
      <c r="A750" s="5"/>
      <c r="B750" s="5"/>
      <c r="E750" s="108"/>
    </row>
    <row r="751">
      <c r="A751" s="5"/>
      <c r="B751" s="5"/>
      <c r="E751" s="108"/>
    </row>
    <row r="752">
      <c r="A752" s="5"/>
      <c r="B752" s="5"/>
      <c r="E752" s="108"/>
    </row>
    <row r="753">
      <c r="A753" s="5"/>
      <c r="B753" s="5"/>
      <c r="E753" s="108"/>
    </row>
    <row r="754">
      <c r="A754" s="5"/>
      <c r="B754" s="5"/>
      <c r="E754" s="108"/>
    </row>
    <row r="755">
      <c r="A755" s="5"/>
      <c r="B755" s="5"/>
      <c r="E755" s="108"/>
    </row>
    <row r="756">
      <c r="A756" s="5"/>
      <c r="B756" s="5"/>
      <c r="E756" s="108"/>
    </row>
    <row r="757">
      <c r="A757" s="5"/>
      <c r="B757" s="5"/>
      <c r="E757" s="108"/>
    </row>
    <row r="758">
      <c r="A758" s="5"/>
      <c r="B758" s="5"/>
      <c r="E758" s="108"/>
    </row>
    <row r="759">
      <c r="A759" s="5"/>
      <c r="B759" s="5"/>
      <c r="E759" s="108"/>
    </row>
    <row r="760">
      <c r="A760" s="5"/>
      <c r="B760" s="5"/>
      <c r="E760" s="108"/>
    </row>
    <row r="761">
      <c r="A761" s="5"/>
      <c r="B761" s="5"/>
      <c r="E761" s="108"/>
    </row>
    <row r="762">
      <c r="A762" s="5"/>
      <c r="B762" s="5"/>
      <c r="E762" s="108"/>
    </row>
    <row r="763">
      <c r="A763" s="5"/>
      <c r="B763" s="5"/>
      <c r="E763" s="108"/>
    </row>
    <row r="764">
      <c r="A764" s="5"/>
      <c r="B764" s="5"/>
      <c r="E764" s="108"/>
    </row>
    <row r="765">
      <c r="A765" s="5"/>
      <c r="B765" s="5"/>
      <c r="E765" s="108"/>
    </row>
    <row r="766">
      <c r="A766" s="5"/>
      <c r="B766" s="5"/>
      <c r="E766" s="108"/>
    </row>
    <row r="767">
      <c r="A767" s="5"/>
      <c r="B767" s="5"/>
      <c r="E767" s="108"/>
    </row>
    <row r="768">
      <c r="A768" s="5"/>
      <c r="B768" s="5"/>
      <c r="E768" s="108"/>
    </row>
    <row r="769">
      <c r="A769" s="5"/>
      <c r="B769" s="5"/>
      <c r="E769" s="108"/>
    </row>
    <row r="770">
      <c r="A770" s="5"/>
      <c r="B770" s="5"/>
      <c r="E770" s="108"/>
    </row>
    <row r="771">
      <c r="A771" s="5"/>
      <c r="B771" s="5"/>
      <c r="E771" s="108"/>
    </row>
    <row r="772">
      <c r="A772" s="5"/>
      <c r="B772" s="5"/>
      <c r="E772" s="108"/>
    </row>
    <row r="773">
      <c r="A773" s="5"/>
      <c r="B773" s="5"/>
      <c r="E773" s="108"/>
    </row>
    <row r="774">
      <c r="A774" s="5"/>
      <c r="B774" s="5"/>
      <c r="E774" s="108"/>
    </row>
    <row r="775">
      <c r="A775" s="5"/>
      <c r="B775" s="5"/>
      <c r="E775" s="108"/>
    </row>
    <row r="776">
      <c r="A776" s="5"/>
      <c r="B776" s="5"/>
      <c r="E776" s="108"/>
    </row>
    <row r="777">
      <c r="A777" s="5"/>
      <c r="B777" s="5"/>
      <c r="E777" s="108"/>
    </row>
    <row r="778">
      <c r="A778" s="5"/>
      <c r="B778" s="5"/>
      <c r="E778" s="108"/>
    </row>
    <row r="779">
      <c r="A779" s="5"/>
      <c r="B779" s="5"/>
      <c r="E779" s="108"/>
    </row>
    <row r="780">
      <c r="A780" s="5"/>
      <c r="B780" s="5"/>
      <c r="E780" s="108"/>
    </row>
    <row r="781">
      <c r="A781" s="5"/>
      <c r="B781" s="5"/>
      <c r="E781" s="108"/>
    </row>
    <row r="782">
      <c r="A782" s="5"/>
      <c r="B782" s="5"/>
      <c r="E782" s="108"/>
    </row>
    <row r="783">
      <c r="A783" s="5"/>
      <c r="B783" s="5"/>
      <c r="E783" s="108"/>
    </row>
    <row r="784">
      <c r="A784" s="5"/>
      <c r="B784" s="5"/>
      <c r="E784" s="108"/>
    </row>
    <row r="785">
      <c r="A785" s="5"/>
      <c r="B785" s="5"/>
      <c r="E785" s="108"/>
    </row>
    <row r="786">
      <c r="A786" s="5"/>
      <c r="B786" s="5"/>
      <c r="E786" s="108"/>
    </row>
    <row r="787">
      <c r="A787" s="5"/>
      <c r="B787" s="5"/>
      <c r="E787" s="108"/>
    </row>
    <row r="788">
      <c r="A788" s="5"/>
      <c r="B788" s="5"/>
      <c r="E788" s="108"/>
    </row>
    <row r="789">
      <c r="A789" s="5"/>
      <c r="B789" s="5"/>
      <c r="E789" s="108"/>
    </row>
    <row r="790">
      <c r="A790" s="5"/>
      <c r="B790" s="5"/>
      <c r="E790" s="108"/>
    </row>
    <row r="791">
      <c r="A791" s="5"/>
      <c r="B791" s="5"/>
      <c r="E791" s="108"/>
    </row>
    <row r="792">
      <c r="A792" s="5"/>
      <c r="B792" s="5"/>
      <c r="E792" s="108"/>
    </row>
    <row r="793">
      <c r="A793" s="5"/>
      <c r="B793" s="5"/>
      <c r="E793" s="108"/>
    </row>
    <row r="794">
      <c r="A794" s="5"/>
      <c r="B794" s="5"/>
      <c r="E794" s="108"/>
    </row>
    <row r="795">
      <c r="A795" s="5"/>
      <c r="B795" s="5"/>
      <c r="E795" s="108"/>
    </row>
    <row r="796">
      <c r="A796" s="5"/>
      <c r="B796" s="5"/>
      <c r="E796" s="108"/>
    </row>
    <row r="797">
      <c r="A797" s="5"/>
      <c r="B797" s="5"/>
      <c r="E797" s="108"/>
    </row>
    <row r="798">
      <c r="A798" s="5"/>
      <c r="B798" s="5"/>
      <c r="E798" s="108"/>
    </row>
    <row r="799">
      <c r="A799" s="5"/>
      <c r="B799" s="5"/>
      <c r="E799" s="108"/>
    </row>
    <row r="800">
      <c r="A800" s="5"/>
      <c r="B800" s="5"/>
      <c r="E800" s="108"/>
    </row>
    <row r="801">
      <c r="A801" s="5"/>
      <c r="B801" s="5"/>
      <c r="E801" s="108"/>
    </row>
    <row r="802">
      <c r="A802" s="5"/>
      <c r="B802" s="5"/>
      <c r="E802" s="108"/>
    </row>
    <row r="803">
      <c r="A803" s="5"/>
      <c r="B803" s="5"/>
      <c r="E803" s="108"/>
    </row>
    <row r="804">
      <c r="A804" s="5"/>
      <c r="B804" s="5"/>
      <c r="E804" s="108"/>
    </row>
    <row r="805">
      <c r="A805" s="5"/>
      <c r="B805" s="5"/>
      <c r="E805" s="108"/>
    </row>
    <row r="806">
      <c r="A806" s="5"/>
      <c r="B806" s="5"/>
      <c r="E806" s="108"/>
    </row>
    <row r="807">
      <c r="A807" s="5"/>
      <c r="B807" s="5"/>
      <c r="E807" s="108"/>
    </row>
    <row r="808">
      <c r="A808" s="5"/>
      <c r="B808" s="5"/>
      <c r="E808" s="108"/>
    </row>
    <row r="809">
      <c r="A809" s="5"/>
      <c r="B809" s="5"/>
      <c r="E809" s="108"/>
    </row>
    <row r="810">
      <c r="A810" s="5"/>
      <c r="B810" s="5"/>
      <c r="E810" s="108"/>
    </row>
    <row r="811">
      <c r="A811" s="5"/>
      <c r="B811" s="5"/>
      <c r="E811" s="108"/>
    </row>
    <row r="812">
      <c r="A812" s="5"/>
      <c r="B812" s="5"/>
      <c r="E812" s="108"/>
    </row>
    <row r="813">
      <c r="A813" s="5"/>
      <c r="B813" s="5"/>
      <c r="E813" s="108"/>
    </row>
    <row r="814">
      <c r="A814" s="5"/>
      <c r="B814" s="5"/>
      <c r="E814" s="108"/>
    </row>
    <row r="815">
      <c r="A815" s="5"/>
      <c r="B815" s="5"/>
      <c r="E815" s="108"/>
    </row>
    <row r="816">
      <c r="A816" s="5"/>
      <c r="B816" s="5"/>
      <c r="E816" s="108"/>
    </row>
    <row r="817">
      <c r="A817" s="5"/>
      <c r="B817" s="5"/>
      <c r="E817" s="108"/>
    </row>
    <row r="818">
      <c r="A818" s="5"/>
      <c r="B818" s="5"/>
      <c r="E818" s="108"/>
    </row>
    <row r="819">
      <c r="A819" s="5"/>
      <c r="B819" s="5"/>
      <c r="E819" s="108"/>
    </row>
    <row r="820">
      <c r="A820" s="5"/>
      <c r="B820" s="5"/>
      <c r="E820" s="108"/>
    </row>
    <row r="821">
      <c r="A821" s="5"/>
      <c r="B821" s="5"/>
      <c r="E821" s="108"/>
    </row>
    <row r="822">
      <c r="A822" s="5"/>
      <c r="B822" s="5"/>
      <c r="E822" s="108"/>
    </row>
    <row r="823">
      <c r="A823" s="5"/>
      <c r="B823" s="5"/>
      <c r="E823" s="108"/>
    </row>
    <row r="824">
      <c r="A824" s="5"/>
      <c r="B824" s="5"/>
      <c r="E824" s="108"/>
    </row>
    <row r="825">
      <c r="A825" s="5"/>
      <c r="B825" s="5"/>
      <c r="E825" s="108"/>
    </row>
    <row r="826">
      <c r="A826" s="5"/>
      <c r="B826" s="5"/>
      <c r="E826" s="108"/>
    </row>
    <row r="827">
      <c r="A827" s="5"/>
      <c r="B827" s="5"/>
      <c r="E827" s="108"/>
    </row>
    <row r="828">
      <c r="A828" s="5"/>
      <c r="B828" s="5"/>
      <c r="E828" s="108"/>
    </row>
    <row r="829">
      <c r="A829" s="5"/>
      <c r="B829" s="5"/>
      <c r="E829" s="108"/>
    </row>
    <row r="830">
      <c r="A830" s="5"/>
      <c r="B830" s="5"/>
      <c r="E830" s="108"/>
    </row>
    <row r="831">
      <c r="A831" s="5"/>
      <c r="B831" s="5"/>
      <c r="E831" s="108"/>
    </row>
    <row r="832">
      <c r="A832" s="5"/>
      <c r="B832" s="5"/>
      <c r="E832" s="108"/>
    </row>
    <row r="833">
      <c r="A833" s="5"/>
      <c r="B833" s="5"/>
      <c r="E833" s="108"/>
    </row>
    <row r="834">
      <c r="A834" s="5"/>
      <c r="B834" s="5"/>
      <c r="E834" s="108"/>
    </row>
    <row r="835">
      <c r="A835" s="5"/>
      <c r="B835" s="5"/>
      <c r="E835" s="108"/>
    </row>
    <row r="836">
      <c r="A836" s="5"/>
      <c r="B836" s="5"/>
      <c r="E836" s="108"/>
    </row>
    <row r="837">
      <c r="A837" s="5"/>
      <c r="B837" s="5"/>
      <c r="E837" s="108"/>
    </row>
    <row r="838">
      <c r="A838" s="5"/>
      <c r="B838" s="5"/>
      <c r="E838" s="108"/>
    </row>
    <row r="839">
      <c r="A839" s="5"/>
      <c r="B839" s="5"/>
      <c r="E839" s="108"/>
    </row>
    <row r="840">
      <c r="A840" s="5"/>
      <c r="B840" s="5"/>
      <c r="E840" s="108"/>
    </row>
    <row r="841">
      <c r="A841" s="5"/>
      <c r="B841" s="5"/>
      <c r="E841" s="108"/>
    </row>
    <row r="842">
      <c r="A842" s="5"/>
      <c r="B842" s="5"/>
      <c r="E842" s="108"/>
    </row>
    <row r="843">
      <c r="A843" s="5"/>
      <c r="B843" s="5"/>
      <c r="E843" s="108"/>
    </row>
    <row r="844">
      <c r="A844" s="5"/>
      <c r="B844" s="5"/>
      <c r="E844" s="108"/>
    </row>
    <row r="845">
      <c r="A845" s="5"/>
      <c r="B845" s="5"/>
      <c r="E845" s="108"/>
    </row>
    <row r="846">
      <c r="A846" s="5"/>
      <c r="B846" s="5"/>
      <c r="E846" s="108"/>
    </row>
    <row r="847">
      <c r="A847" s="5"/>
      <c r="B847" s="5"/>
      <c r="E847" s="108"/>
    </row>
    <row r="848">
      <c r="A848" s="5"/>
      <c r="B848" s="5"/>
      <c r="E848" s="108"/>
    </row>
    <row r="849">
      <c r="A849" s="5"/>
      <c r="B849" s="5"/>
      <c r="E849" s="108"/>
    </row>
    <row r="850">
      <c r="A850" s="5"/>
      <c r="B850" s="5"/>
      <c r="E850" s="108"/>
    </row>
    <row r="851">
      <c r="A851" s="5"/>
      <c r="B851" s="5"/>
      <c r="E851" s="108"/>
    </row>
    <row r="852">
      <c r="A852" s="5"/>
      <c r="B852" s="5"/>
      <c r="E852" s="108"/>
    </row>
    <row r="853">
      <c r="A853" s="5"/>
      <c r="B853" s="5"/>
      <c r="E853" s="108"/>
    </row>
    <row r="854">
      <c r="A854" s="5"/>
      <c r="B854" s="5"/>
      <c r="E854" s="108"/>
    </row>
    <row r="855">
      <c r="A855" s="5"/>
      <c r="B855" s="5"/>
      <c r="E855" s="108"/>
    </row>
    <row r="856">
      <c r="A856" s="5"/>
      <c r="B856" s="5"/>
      <c r="E856" s="108"/>
    </row>
    <row r="857">
      <c r="A857" s="5"/>
      <c r="B857" s="5"/>
      <c r="E857" s="108"/>
    </row>
    <row r="858">
      <c r="A858" s="5"/>
      <c r="B858" s="5"/>
      <c r="E858" s="108"/>
    </row>
    <row r="859">
      <c r="A859" s="5"/>
      <c r="B859" s="5"/>
      <c r="E859" s="108"/>
    </row>
    <row r="860">
      <c r="A860" s="5"/>
      <c r="B860" s="5"/>
      <c r="E860" s="108"/>
    </row>
    <row r="861">
      <c r="A861" s="5"/>
      <c r="B861" s="5"/>
      <c r="E861" s="108"/>
    </row>
    <row r="862">
      <c r="A862" s="5"/>
      <c r="B862" s="5"/>
      <c r="E862" s="108"/>
    </row>
    <row r="863">
      <c r="A863" s="5"/>
      <c r="B863" s="5"/>
      <c r="E863" s="108"/>
    </row>
    <row r="864">
      <c r="A864" s="5"/>
      <c r="B864" s="5"/>
      <c r="E864" s="108"/>
    </row>
    <row r="865">
      <c r="A865" s="5"/>
      <c r="B865" s="5"/>
      <c r="E865" s="108"/>
    </row>
    <row r="866">
      <c r="A866" s="5"/>
      <c r="B866" s="5"/>
      <c r="E866" s="108"/>
    </row>
    <row r="867">
      <c r="A867" s="5"/>
      <c r="B867" s="5"/>
      <c r="E867" s="108"/>
    </row>
    <row r="868">
      <c r="A868" s="5"/>
      <c r="B868" s="5"/>
      <c r="E868" s="108"/>
    </row>
    <row r="869">
      <c r="A869" s="5"/>
      <c r="B869" s="5"/>
      <c r="E869" s="108"/>
    </row>
    <row r="870">
      <c r="A870" s="5"/>
      <c r="B870" s="5"/>
      <c r="E870" s="108"/>
    </row>
    <row r="871">
      <c r="A871" s="5"/>
      <c r="B871" s="5"/>
      <c r="E871" s="108"/>
    </row>
    <row r="872">
      <c r="A872" s="5"/>
      <c r="B872" s="5"/>
      <c r="E872" s="108"/>
    </row>
    <row r="873">
      <c r="A873" s="5"/>
      <c r="B873" s="5"/>
      <c r="E873" s="108"/>
    </row>
    <row r="874">
      <c r="A874" s="5"/>
      <c r="B874" s="5"/>
      <c r="E874" s="108"/>
    </row>
    <row r="875">
      <c r="A875" s="5"/>
      <c r="B875" s="5"/>
      <c r="E875" s="108"/>
    </row>
    <row r="876">
      <c r="A876" s="5"/>
      <c r="B876" s="5"/>
      <c r="E876" s="108"/>
    </row>
    <row r="877">
      <c r="A877" s="5"/>
      <c r="B877" s="5"/>
      <c r="E877" s="108"/>
    </row>
    <row r="878">
      <c r="A878" s="5"/>
      <c r="B878" s="5"/>
      <c r="E878" s="108"/>
    </row>
    <row r="879">
      <c r="A879" s="5"/>
      <c r="B879" s="5"/>
      <c r="E879" s="108"/>
    </row>
    <row r="880">
      <c r="A880" s="5"/>
      <c r="B880" s="5"/>
      <c r="E880" s="108"/>
    </row>
    <row r="881">
      <c r="A881" s="5"/>
      <c r="B881" s="5"/>
      <c r="E881" s="108"/>
    </row>
    <row r="882">
      <c r="A882" s="5"/>
      <c r="B882" s="5"/>
      <c r="E882" s="108"/>
    </row>
    <row r="883">
      <c r="A883" s="5"/>
      <c r="B883" s="5"/>
      <c r="E883" s="108"/>
    </row>
    <row r="884">
      <c r="A884" s="5"/>
      <c r="B884" s="5"/>
      <c r="E884" s="108"/>
    </row>
    <row r="885">
      <c r="A885" s="5"/>
      <c r="B885" s="5"/>
      <c r="E885" s="108"/>
    </row>
    <row r="886">
      <c r="A886" s="5"/>
      <c r="B886" s="5"/>
      <c r="E886" s="108"/>
    </row>
    <row r="887">
      <c r="A887" s="5"/>
      <c r="B887" s="5"/>
      <c r="E887" s="108"/>
    </row>
    <row r="888">
      <c r="A888" s="5"/>
      <c r="B888" s="5"/>
      <c r="E888" s="108"/>
    </row>
    <row r="889">
      <c r="A889" s="5"/>
      <c r="B889" s="5"/>
      <c r="E889" s="108"/>
    </row>
    <row r="890">
      <c r="A890" s="5"/>
      <c r="B890" s="5"/>
      <c r="E890" s="108"/>
    </row>
    <row r="891">
      <c r="A891" s="5"/>
      <c r="B891" s="5"/>
      <c r="E891" s="108"/>
    </row>
    <row r="892">
      <c r="A892" s="5"/>
      <c r="B892" s="5"/>
      <c r="E892" s="108"/>
    </row>
    <row r="893">
      <c r="A893" s="5"/>
      <c r="B893" s="5"/>
      <c r="E893" s="108"/>
    </row>
    <row r="894">
      <c r="A894" s="5"/>
      <c r="B894" s="5"/>
      <c r="E894" s="108"/>
    </row>
    <row r="895">
      <c r="A895" s="5"/>
      <c r="B895" s="5"/>
      <c r="E895" s="108"/>
    </row>
    <row r="896">
      <c r="A896" s="5"/>
      <c r="B896" s="5"/>
      <c r="E896" s="108"/>
    </row>
    <row r="897">
      <c r="A897" s="5"/>
      <c r="B897" s="5"/>
      <c r="E897" s="108"/>
    </row>
    <row r="898">
      <c r="A898" s="5"/>
      <c r="B898" s="5"/>
      <c r="E898" s="108"/>
    </row>
    <row r="899">
      <c r="A899" s="5"/>
      <c r="B899" s="5"/>
      <c r="E899" s="108"/>
    </row>
    <row r="900">
      <c r="A900" s="5"/>
      <c r="B900" s="5"/>
      <c r="E900" s="108"/>
    </row>
    <row r="901">
      <c r="A901" s="5"/>
      <c r="B901" s="5"/>
      <c r="E901" s="108"/>
    </row>
    <row r="902">
      <c r="A902" s="5"/>
      <c r="B902" s="5"/>
      <c r="E902" s="108"/>
    </row>
    <row r="903">
      <c r="A903" s="5"/>
      <c r="B903" s="5"/>
      <c r="E903" s="108"/>
    </row>
    <row r="904">
      <c r="A904" s="5"/>
      <c r="B904" s="5"/>
      <c r="E904" s="108"/>
    </row>
    <row r="905">
      <c r="A905" s="5"/>
      <c r="B905" s="5"/>
      <c r="E905" s="108"/>
    </row>
    <row r="906">
      <c r="A906" s="5"/>
      <c r="B906" s="5"/>
      <c r="E906" s="108"/>
    </row>
    <row r="907">
      <c r="A907" s="5"/>
      <c r="B907" s="5"/>
      <c r="E907" s="108"/>
    </row>
    <row r="908">
      <c r="A908" s="5"/>
      <c r="B908" s="5"/>
      <c r="E908" s="108"/>
    </row>
    <row r="909">
      <c r="A909" s="5"/>
      <c r="B909" s="5"/>
      <c r="E909" s="108"/>
    </row>
    <row r="910">
      <c r="A910" s="5"/>
      <c r="B910" s="5"/>
      <c r="E910" s="108"/>
    </row>
    <row r="911">
      <c r="A911" s="5"/>
      <c r="B911" s="5"/>
      <c r="E911" s="108"/>
    </row>
    <row r="912">
      <c r="A912" s="5"/>
      <c r="B912" s="5"/>
      <c r="E912" s="108"/>
    </row>
    <row r="913">
      <c r="A913" s="5"/>
      <c r="B913" s="5"/>
      <c r="E913" s="108"/>
    </row>
    <row r="914">
      <c r="A914" s="5"/>
      <c r="B914" s="5"/>
      <c r="E914" s="108"/>
    </row>
    <row r="915">
      <c r="A915" s="5"/>
      <c r="B915" s="5"/>
      <c r="E915" s="108"/>
    </row>
    <row r="916">
      <c r="A916" s="5"/>
      <c r="B916" s="5"/>
      <c r="E916" s="108"/>
    </row>
    <row r="917">
      <c r="A917" s="5"/>
      <c r="B917" s="5"/>
      <c r="E917" s="108"/>
    </row>
    <row r="918">
      <c r="A918" s="5"/>
      <c r="B918" s="5"/>
      <c r="E918" s="108"/>
    </row>
    <row r="919">
      <c r="A919" s="5"/>
      <c r="B919" s="5"/>
      <c r="E919" s="108"/>
    </row>
    <row r="920">
      <c r="A920" s="5"/>
      <c r="B920" s="5"/>
      <c r="E920" s="108"/>
    </row>
    <row r="921">
      <c r="A921" s="5"/>
      <c r="B921" s="5"/>
      <c r="E921" s="108"/>
    </row>
    <row r="922">
      <c r="A922" s="5"/>
      <c r="B922" s="5"/>
      <c r="E922" s="108"/>
    </row>
    <row r="923">
      <c r="A923" s="5"/>
      <c r="B923" s="5"/>
      <c r="E923" s="108"/>
    </row>
    <row r="924">
      <c r="A924" s="5"/>
      <c r="B924" s="5"/>
      <c r="E924" s="108"/>
    </row>
    <row r="925">
      <c r="A925" s="5"/>
      <c r="B925" s="5"/>
      <c r="E925" s="108"/>
    </row>
    <row r="926">
      <c r="A926" s="5"/>
      <c r="B926" s="5"/>
      <c r="E926" s="108"/>
    </row>
    <row r="927">
      <c r="A927" s="5"/>
      <c r="B927" s="5"/>
      <c r="E927" s="108"/>
    </row>
    <row r="928">
      <c r="A928" s="5"/>
      <c r="B928" s="5"/>
      <c r="E928" s="108"/>
    </row>
    <row r="929">
      <c r="A929" s="5"/>
      <c r="B929" s="5"/>
      <c r="E929" s="108"/>
    </row>
    <row r="930">
      <c r="A930" s="5"/>
      <c r="B930" s="5"/>
      <c r="E930" s="108"/>
    </row>
    <row r="931">
      <c r="A931" s="5"/>
      <c r="B931" s="5"/>
      <c r="E931" s="108"/>
    </row>
    <row r="932">
      <c r="A932" s="5"/>
      <c r="B932" s="5"/>
      <c r="E932" s="108"/>
    </row>
    <row r="933">
      <c r="A933" s="5"/>
      <c r="B933" s="5"/>
      <c r="E933" s="108"/>
    </row>
    <row r="934">
      <c r="A934" s="5"/>
      <c r="B934" s="5"/>
      <c r="E934" s="108"/>
    </row>
    <row r="935">
      <c r="A935" s="5"/>
      <c r="B935" s="5"/>
      <c r="E935" s="108"/>
    </row>
    <row r="936">
      <c r="A936" s="5"/>
      <c r="B936" s="5"/>
      <c r="E936" s="108"/>
    </row>
    <row r="937">
      <c r="A937" s="5"/>
      <c r="B937" s="5"/>
      <c r="E937" s="108"/>
    </row>
    <row r="938">
      <c r="A938" s="5"/>
      <c r="B938" s="5"/>
      <c r="E938" s="108"/>
    </row>
    <row r="939">
      <c r="A939" s="5"/>
      <c r="B939" s="5"/>
      <c r="E939" s="108"/>
    </row>
    <row r="940">
      <c r="A940" s="5"/>
      <c r="B940" s="5"/>
      <c r="E940" s="108"/>
    </row>
    <row r="941">
      <c r="A941" s="5"/>
      <c r="B941" s="5"/>
      <c r="E941" s="108"/>
    </row>
    <row r="942">
      <c r="A942" s="5"/>
      <c r="B942" s="5"/>
      <c r="E942" s="108"/>
    </row>
    <row r="943">
      <c r="A943" s="5"/>
      <c r="B943" s="5"/>
      <c r="E943" s="108"/>
    </row>
    <row r="944">
      <c r="A944" s="5"/>
      <c r="B944" s="5"/>
      <c r="E944" s="108"/>
    </row>
    <row r="945">
      <c r="A945" s="5"/>
      <c r="B945" s="5"/>
      <c r="E945" s="108"/>
    </row>
    <row r="946">
      <c r="A946" s="5"/>
      <c r="B946" s="5"/>
      <c r="E946" s="108"/>
    </row>
    <row r="947">
      <c r="A947" s="5"/>
      <c r="B947" s="5"/>
      <c r="E947" s="108"/>
    </row>
    <row r="948">
      <c r="A948" s="5"/>
      <c r="B948" s="5"/>
      <c r="E948" s="108"/>
    </row>
    <row r="949">
      <c r="A949" s="5"/>
      <c r="B949" s="5"/>
      <c r="E949" s="108"/>
    </row>
    <row r="950">
      <c r="A950" s="5"/>
      <c r="B950" s="5"/>
      <c r="E950" s="108"/>
    </row>
    <row r="951">
      <c r="A951" s="5"/>
      <c r="B951" s="5"/>
      <c r="E951" s="108"/>
    </row>
    <row r="952">
      <c r="A952" s="5"/>
      <c r="B952" s="5"/>
      <c r="E952" s="108"/>
    </row>
    <row r="953">
      <c r="A953" s="5"/>
      <c r="B953" s="5"/>
      <c r="E953" s="108"/>
    </row>
    <row r="954">
      <c r="A954" s="5"/>
      <c r="B954" s="5"/>
      <c r="E954" s="108"/>
    </row>
    <row r="955">
      <c r="A955" s="5"/>
      <c r="B955" s="5"/>
      <c r="E955" s="108"/>
    </row>
    <row r="956">
      <c r="A956" s="5"/>
      <c r="B956" s="5"/>
      <c r="E956" s="108"/>
    </row>
    <row r="957">
      <c r="A957" s="5"/>
      <c r="B957" s="5"/>
      <c r="E957" s="108"/>
    </row>
    <row r="958">
      <c r="A958" s="5"/>
      <c r="B958" s="5"/>
      <c r="E958" s="108"/>
    </row>
    <row r="959">
      <c r="A959" s="5"/>
      <c r="B959" s="5"/>
      <c r="E959" s="108"/>
    </row>
    <row r="960">
      <c r="A960" s="5"/>
      <c r="B960" s="5"/>
      <c r="E960" s="108"/>
    </row>
    <row r="961">
      <c r="A961" s="5"/>
      <c r="B961" s="5"/>
      <c r="E961" s="108"/>
    </row>
    <row r="962">
      <c r="A962" s="5"/>
      <c r="B962" s="5"/>
      <c r="E962" s="108"/>
    </row>
    <row r="963">
      <c r="A963" s="5"/>
      <c r="B963" s="5"/>
      <c r="E963" s="108"/>
    </row>
    <row r="964">
      <c r="A964" s="5"/>
      <c r="B964" s="5"/>
      <c r="E964" s="108"/>
    </row>
    <row r="965">
      <c r="A965" s="5"/>
      <c r="B965" s="5"/>
      <c r="E965" s="108"/>
    </row>
    <row r="966">
      <c r="A966" s="5"/>
      <c r="B966" s="5"/>
      <c r="E966" s="108"/>
    </row>
    <row r="967">
      <c r="A967" s="5"/>
      <c r="B967" s="5"/>
      <c r="E967" s="108"/>
    </row>
    <row r="968">
      <c r="A968" s="5"/>
      <c r="B968" s="5"/>
      <c r="E968" s="108"/>
    </row>
    <row r="969">
      <c r="A969" s="5"/>
      <c r="B969" s="5"/>
      <c r="E969" s="108"/>
    </row>
    <row r="970">
      <c r="A970" s="5"/>
      <c r="B970" s="5"/>
      <c r="E970" s="108"/>
    </row>
    <row r="971">
      <c r="A971" s="5"/>
      <c r="B971" s="5"/>
      <c r="E971" s="108"/>
    </row>
    <row r="972">
      <c r="A972" s="5"/>
      <c r="B972" s="5"/>
      <c r="E972" s="108"/>
    </row>
    <row r="973">
      <c r="A973" s="5"/>
      <c r="B973" s="5"/>
      <c r="E973" s="108"/>
    </row>
    <row r="974">
      <c r="A974" s="5"/>
      <c r="B974" s="5"/>
      <c r="E974" s="108"/>
    </row>
    <row r="975">
      <c r="A975" s="5"/>
      <c r="B975" s="5"/>
      <c r="E975" s="108"/>
    </row>
    <row r="976">
      <c r="A976" s="5"/>
      <c r="B976" s="5"/>
      <c r="E976" s="108"/>
    </row>
    <row r="977">
      <c r="A977" s="5"/>
      <c r="B977" s="5"/>
      <c r="E977" s="108"/>
    </row>
    <row r="978">
      <c r="A978" s="5"/>
      <c r="B978" s="5"/>
      <c r="E978" s="108"/>
    </row>
    <row r="979">
      <c r="A979" s="5"/>
      <c r="B979" s="5"/>
      <c r="E979" s="108"/>
    </row>
    <row r="980">
      <c r="A980" s="5"/>
      <c r="B980" s="5"/>
      <c r="E980" s="108"/>
    </row>
    <row r="981">
      <c r="A981" s="5"/>
      <c r="B981" s="5"/>
      <c r="E981" s="108"/>
    </row>
    <row r="982">
      <c r="A982" s="5"/>
      <c r="B982" s="5"/>
      <c r="E982" s="108"/>
    </row>
    <row r="983">
      <c r="A983" s="5"/>
      <c r="B983" s="5"/>
      <c r="E983" s="108"/>
    </row>
    <row r="984">
      <c r="A984" s="5"/>
      <c r="B984" s="5"/>
      <c r="E984" s="108"/>
    </row>
    <row r="985">
      <c r="A985" s="5"/>
      <c r="B985" s="5"/>
      <c r="E985" s="108"/>
    </row>
    <row r="986">
      <c r="A986" s="5"/>
      <c r="B986" s="5"/>
      <c r="E986" s="108"/>
    </row>
    <row r="987">
      <c r="A987" s="5"/>
      <c r="B987" s="5"/>
      <c r="E987" s="108"/>
    </row>
    <row r="988">
      <c r="A988" s="5"/>
      <c r="B988" s="5"/>
      <c r="E988" s="108"/>
    </row>
    <row r="989">
      <c r="A989" s="5"/>
      <c r="B989" s="5"/>
      <c r="E989" s="108"/>
    </row>
    <row r="990">
      <c r="A990" s="5"/>
      <c r="B990" s="5"/>
      <c r="E990" s="108"/>
    </row>
    <row r="991">
      <c r="A991" s="5"/>
      <c r="B991" s="5"/>
      <c r="E991" s="108"/>
    </row>
    <row r="992">
      <c r="A992" s="5"/>
      <c r="B992" s="5"/>
      <c r="E992" s="108"/>
    </row>
    <row r="993">
      <c r="A993" s="5"/>
      <c r="B993" s="5"/>
      <c r="E993" s="108"/>
    </row>
    <row r="994">
      <c r="A994" s="5"/>
      <c r="B994" s="5"/>
      <c r="E994" s="108"/>
    </row>
    <row r="995">
      <c r="A995" s="5"/>
      <c r="B995" s="5"/>
      <c r="E995" s="108"/>
    </row>
    <row r="996">
      <c r="A996" s="5"/>
      <c r="B996" s="5"/>
      <c r="E996" s="108"/>
    </row>
    <row r="997">
      <c r="A997" s="5"/>
      <c r="B997" s="5"/>
      <c r="E997" s="108"/>
    </row>
    <row r="998">
      <c r="A998" s="5"/>
      <c r="B998" s="5"/>
      <c r="E998" s="108"/>
    </row>
    <row r="999">
      <c r="A999" s="5"/>
      <c r="B999" s="5"/>
      <c r="E999" s="108"/>
    </row>
    <row r="1000">
      <c r="A1000" s="5"/>
      <c r="B1000" s="5"/>
      <c r="E1000" s="108"/>
    </row>
    <row r="1001">
      <c r="A1001" s="5"/>
      <c r="B1001" s="5"/>
      <c r="E1001" s="108"/>
    </row>
    <row r="1002">
      <c r="A1002" s="5"/>
      <c r="B1002" s="5"/>
      <c r="E1002" s="108"/>
    </row>
    <row r="1003">
      <c r="A1003" s="5"/>
      <c r="B1003" s="5"/>
      <c r="E1003" s="108"/>
    </row>
    <row r="1004">
      <c r="A1004" s="5"/>
      <c r="B1004" s="5"/>
      <c r="E1004" s="108"/>
    </row>
    <row r="1005">
      <c r="A1005" s="5"/>
      <c r="B1005" s="5"/>
      <c r="E1005" s="108"/>
    </row>
    <row r="1006">
      <c r="A1006" s="5"/>
      <c r="B1006" s="5"/>
      <c r="E1006" s="108"/>
    </row>
    <row r="1007">
      <c r="A1007" s="5"/>
      <c r="B1007" s="5"/>
      <c r="E1007" s="108"/>
    </row>
    <row r="1008">
      <c r="A1008" s="5"/>
      <c r="B1008" s="5"/>
      <c r="E1008" s="108"/>
    </row>
  </sheetData>
  <dataValidations>
    <dataValidation type="list" allowBlank="1" sqref="D8:D23">
      <formula1>"Not started,Ongoing,Completed"</formula1>
    </dataValidation>
    <dataValidation type="custom" allowBlank="1" showDropDown="1" sqref="B8:B23">
      <formula1>AND(ISNUMBER(B8),(NOT(OR(NOT(ISERROR(DATEVALUE(B8))), AND(ISNUMBER(B8), LEFT(CELL("format", B8))="D")))))</formula1>
    </dataValidation>
  </dataValidations>
  <hyperlinks>
    <hyperlink r:id="rId1" ref="D2"/>
  </hyperlinks>
  <drawing r:id="rId2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.88"/>
    <col customWidth="1" min="3" max="3" width="64.88"/>
    <col customWidth="1" min="4" max="4" width="17.0"/>
  </cols>
  <sheetData>
    <row r="1">
      <c r="A1" s="8"/>
      <c r="B1" s="62" t="str">
        <f>CONCATENATE('0. Checklist'!D1, " ", '0. Checklist'!D2)</f>
        <v>9 IT Software Solutions for Business</v>
      </c>
    </row>
    <row r="2">
      <c r="B2" s="8" t="s">
        <v>31</v>
      </c>
      <c r="C2" s="8" t="s">
        <v>166</v>
      </c>
    </row>
    <row r="3">
      <c r="B3" s="8" t="s">
        <v>31</v>
      </c>
      <c r="C3" s="114" t="s">
        <v>167</v>
      </c>
      <c r="D3" s="115" t="s">
        <v>145</v>
      </c>
    </row>
    <row r="4">
      <c r="C4" s="8"/>
      <c r="D4" s="6"/>
    </row>
    <row r="5" ht="21.75" customHeight="1">
      <c r="A5" s="9"/>
      <c r="B5" s="87">
        <v>1.0</v>
      </c>
      <c r="C5" s="87" t="s">
        <v>168</v>
      </c>
      <c r="D5" s="87" t="s">
        <v>122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</sheetData>
  <dataValidations>
    <dataValidation type="list" allowBlank="1" sqref="D5">
      <formula1>"Not started,Ongoing,Completed"</formula1>
    </dataValidation>
  </dataValidations>
  <hyperlinks>
    <hyperlink r:id="rId1" ref="D3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4.88"/>
    <col customWidth="1" min="3" max="3" width="49.63"/>
    <col customWidth="1" min="4" max="4" width="14.5"/>
    <col customWidth="1" min="5" max="5" width="23.88"/>
  </cols>
  <sheetData>
    <row r="1">
      <c r="B1" s="62" t="str">
        <f>CONCATENATE('0. Checklist'!D1, " ", '0. Checklist'!D2)</f>
        <v>9 IT Software Solutions for Business</v>
      </c>
      <c r="C1" s="89"/>
    </row>
    <row r="2">
      <c r="B2" s="107" t="s">
        <v>31</v>
      </c>
      <c r="C2" s="8" t="s">
        <v>169</v>
      </c>
      <c r="D2" s="116" t="s">
        <v>145</v>
      </c>
    </row>
    <row r="3">
      <c r="B3" s="107"/>
      <c r="C3" s="8"/>
    </row>
    <row r="4">
      <c r="A4" s="114"/>
    </row>
    <row r="5" ht="21.75" customHeight="1">
      <c r="B5" s="102" t="s">
        <v>8</v>
      </c>
      <c r="C5" s="102" t="s">
        <v>9</v>
      </c>
      <c r="D5" s="102" t="s">
        <v>10</v>
      </c>
      <c r="E5" s="102" t="s">
        <v>134</v>
      </c>
    </row>
    <row r="6" ht="21.75" customHeight="1">
      <c r="B6" s="109">
        <v>1.0</v>
      </c>
      <c r="C6" s="103" t="s">
        <v>170</v>
      </c>
      <c r="D6" s="110" t="s">
        <v>122</v>
      </c>
      <c r="E6" s="117"/>
    </row>
    <row r="7" ht="21.75" customHeight="1">
      <c r="B7" s="13">
        <v>2.0</v>
      </c>
      <c r="C7" s="103" t="s">
        <v>171</v>
      </c>
      <c r="D7" s="110" t="s">
        <v>122</v>
      </c>
      <c r="E7" s="117"/>
    </row>
    <row r="9">
      <c r="C9" s="8" t="s">
        <v>172</v>
      </c>
    </row>
  </sheetData>
  <dataValidations>
    <dataValidation type="list" allowBlank="1" showErrorMessage="1" sqref="D6:D7">
      <formula1>"Not started,On going,Completed"</formula1>
    </dataValidation>
    <dataValidation type="custom" allowBlank="1" showDropDown="1" sqref="B6:B7">
      <formula1>AND(ISNUMBER(B6),(NOT(OR(NOT(ISERROR(DATEVALUE(B6))), AND(ISNUMBER(B6), LEFT(CELL("format", B6))="D")))))</formula1>
    </dataValidation>
  </dataValidations>
  <hyperlinks>
    <hyperlink r:id="rId1" ref="D2"/>
  </hyperlinks>
  <drawing r:id="rId2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6.38"/>
    <col customWidth="1" min="3" max="3" width="38.88"/>
    <col customWidth="1" min="4" max="4" width="21.0"/>
    <col customWidth="1" min="5" max="5" width="26.38"/>
  </cols>
  <sheetData>
    <row r="1">
      <c r="A1" s="118"/>
      <c r="B1" s="62" t="str">
        <f>CONCATENATE('0. Checklist'!D1, " ", '0. Checklist'!D2)</f>
        <v>9 IT Software Solutions for Business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</row>
    <row r="2">
      <c r="A2" s="119"/>
      <c r="B2" s="119" t="s">
        <v>173</v>
      </c>
      <c r="C2" s="118"/>
      <c r="D2" s="119"/>
      <c r="E2" s="119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</row>
    <row r="3">
      <c r="A3" s="119"/>
      <c r="B3" s="119"/>
      <c r="C3" s="118"/>
      <c r="D3" s="119"/>
      <c r="E3" s="119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</row>
    <row r="4">
      <c r="A4" s="118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</row>
    <row r="5" ht="22.5" customHeight="1">
      <c r="A5" s="90"/>
      <c r="B5" s="31" t="s">
        <v>8</v>
      </c>
      <c r="C5" s="30" t="s">
        <v>9</v>
      </c>
      <c r="D5" s="31" t="s">
        <v>174</v>
      </c>
      <c r="E5" s="120" t="s">
        <v>134</v>
      </c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</row>
    <row r="6" ht="22.5" customHeight="1">
      <c r="A6" s="121"/>
      <c r="B6" s="122">
        <v>1.0</v>
      </c>
      <c r="C6" s="123" t="s">
        <v>175</v>
      </c>
      <c r="D6" s="124" t="s">
        <v>176</v>
      </c>
      <c r="E6" s="125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</row>
    <row r="7" ht="22.5" customHeight="1">
      <c r="A7" s="121"/>
      <c r="B7" s="126">
        <v>2.0</v>
      </c>
      <c r="C7" s="127" t="s">
        <v>177</v>
      </c>
      <c r="D7" s="124" t="s">
        <v>176</v>
      </c>
      <c r="E7" s="12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18"/>
    </row>
    <row r="8" ht="22.5" customHeight="1">
      <c r="A8" s="121"/>
      <c r="B8" s="129">
        <v>3.0</v>
      </c>
      <c r="C8" s="123" t="s">
        <v>178</v>
      </c>
      <c r="D8" s="130" t="s">
        <v>179</v>
      </c>
      <c r="E8" s="125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</row>
    <row r="9" ht="22.5" customHeight="1">
      <c r="A9" s="121"/>
      <c r="B9" s="126">
        <v>4.0</v>
      </c>
      <c r="C9" s="127" t="s">
        <v>180</v>
      </c>
      <c r="D9" s="130" t="s">
        <v>179</v>
      </c>
      <c r="E9" s="12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  <c r="AA9" s="118"/>
      <c r="AB9" s="118"/>
    </row>
    <row r="10" ht="22.5" customHeight="1">
      <c r="A10" s="121"/>
      <c r="B10" s="129">
        <v>5.0</v>
      </c>
      <c r="C10" s="123" t="s">
        <v>181</v>
      </c>
      <c r="D10" s="130" t="s">
        <v>179</v>
      </c>
      <c r="E10" s="125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  <c r="AA10" s="118"/>
      <c r="AB10" s="118"/>
    </row>
    <row r="11" ht="22.5" customHeight="1">
      <c r="A11" s="121"/>
      <c r="B11" s="126">
        <v>6.0</v>
      </c>
      <c r="C11" s="127" t="s">
        <v>182</v>
      </c>
      <c r="D11" s="131" t="s">
        <v>183</v>
      </c>
      <c r="E11" s="12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</row>
    <row r="12" ht="22.5" customHeight="1">
      <c r="A12" s="121"/>
      <c r="B12" s="129">
        <v>7.0</v>
      </c>
      <c r="C12" s="123" t="s">
        <v>184</v>
      </c>
      <c r="D12" s="132" t="s">
        <v>183</v>
      </c>
      <c r="E12" s="125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</row>
    <row r="13" ht="22.5" customHeight="1">
      <c r="A13" s="121"/>
      <c r="B13" s="126">
        <v>8.0</v>
      </c>
      <c r="C13" s="127" t="s">
        <v>185</v>
      </c>
      <c r="D13" s="133" t="s">
        <v>186</v>
      </c>
      <c r="E13" s="12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  <c r="AA13" s="118"/>
      <c r="AB13" s="118"/>
    </row>
    <row r="14" ht="22.5" customHeight="1">
      <c r="A14" s="121"/>
      <c r="B14" s="129">
        <v>9.0</v>
      </c>
      <c r="C14" s="123" t="s">
        <v>187</v>
      </c>
      <c r="D14" s="133" t="s">
        <v>186</v>
      </c>
      <c r="E14" s="125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  <c r="AA14" s="118"/>
      <c r="AB14" s="118"/>
    </row>
    <row r="15" ht="22.5" customHeight="1">
      <c r="A15" s="121"/>
      <c r="B15" s="126">
        <v>10.0</v>
      </c>
      <c r="C15" s="127" t="s">
        <v>188</v>
      </c>
      <c r="D15" s="134" t="s">
        <v>186</v>
      </c>
      <c r="E15" s="12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</row>
    <row r="16" ht="22.5" customHeight="1">
      <c r="A16" s="118"/>
      <c r="B16" s="129">
        <v>11.0</v>
      </c>
      <c r="C16" s="123" t="s">
        <v>189</v>
      </c>
      <c r="D16" s="133" t="s">
        <v>186</v>
      </c>
      <c r="E16" s="125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  <c r="AA16" s="118"/>
      <c r="AB16" s="118"/>
    </row>
    <row r="17" ht="24.75" customHeight="1">
      <c r="A17" s="29"/>
      <c r="B17" s="135">
        <v>12.0</v>
      </c>
      <c r="C17" s="136" t="s">
        <v>190</v>
      </c>
      <c r="D17" s="137" t="s">
        <v>186</v>
      </c>
      <c r="E17" s="136" t="s">
        <v>191</v>
      </c>
      <c r="F17" s="9"/>
      <c r="G17" s="9"/>
      <c r="H17" s="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</row>
    <row r="18" ht="24.75" customHeight="1">
      <c r="A18" s="29"/>
      <c r="B18" s="135">
        <v>13.0</v>
      </c>
      <c r="C18" s="136" t="s">
        <v>192</v>
      </c>
      <c r="D18" s="137" t="s">
        <v>186</v>
      </c>
      <c r="E18" s="136" t="s">
        <v>191</v>
      </c>
      <c r="F18" s="9"/>
      <c r="G18" s="9"/>
      <c r="H18" s="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</row>
    <row r="19">
      <c r="A19" s="118"/>
      <c r="B19" s="138">
        <v>14.0</v>
      </c>
      <c r="C19" s="139" t="s">
        <v>193</v>
      </c>
      <c r="D19" s="140"/>
      <c r="E19" s="87" t="s">
        <v>122</v>
      </c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</row>
    <row r="20">
      <c r="A20" s="118"/>
      <c r="B20" s="141"/>
      <c r="C20" s="141"/>
      <c r="D20" s="141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</row>
    <row r="21">
      <c r="A21" s="118"/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  <c r="AA21" s="118"/>
      <c r="AB21" s="118"/>
    </row>
    <row r="22">
      <c r="A22" s="118"/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</row>
    <row r="23">
      <c r="A23" s="118"/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</row>
    <row r="24">
      <c r="A24" s="118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</row>
    <row r="25">
      <c r="A25" s="118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</row>
    <row r="26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</row>
    <row r="27">
      <c r="A27" s="118"/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</row>
    <row r="28">
      <c r="A28" s="118"/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</row>
    <row r="29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</row>
    <row r="30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</row>
    <row r="31">
      <c r="A31" s="118"/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  <c r="AA31" s="118"/>
      <c r="AB31" s="118"/>
    </row>
    <row r="32">
      <c r="A32" s="118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  <c r="AA32" s="118"/>
      <c r="AB32" s="118"/>
    </row>
    <row r="33">
      <c r="A33" s="118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</row>
    <row r="34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</row>
    <row r="35">
      <c r="A35" s="118"/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</row>
    <row r="36">
      <c r="A36" s="118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</row>
    <row r="37">
      <c r="A37" s="118"/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</row>
    <row r="38">
      <c r="A38" s="118"/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</row>
    <row r="39">
      <c r="A39" s="118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</row>
    <row r="40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</row>
    <row r="41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</row>
    <row r="42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</row>
    <row r="43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  <c r="AA43" s="118"/>
      <c r="AB43" s="118"/>
    </row>
    <row r="44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  <c r="AA44" s="118"/>
      <c r="AB44" s="118"/>
    </row>
    <row r="45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</row>
    <row r="46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  <c r="AA46" s="118"/>
      <c r="AB46" s="118"/>
    </row>
    <row r="47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</row>
    <row r="48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  <c r="AA48" s="118"/>
      <c r="AB48" s="118"/>
    </row>
    <row r="49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  <c r="AA49" s="118"/>
      <c r="AB49" s="118"/>
    </row>
    <row r="50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</row>
    <row r="51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</row>
    <row r="52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  <c r="AA52" s="118"/>
      <c r="AB52" s="118"/>
    </row>
    <row r="53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  <c r="AA53" s="118"/>
      <c r="AB53" s="118"/>
    </row>
    <row r="54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</row>
    <row r="55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  <c r="AA55" s="118"/>
      <c r="AB55" s="118"/>
    </row>
    <row r="56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</row>
    <row r="57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  <c r="AA57" s="118"/>
      <c r="AB57" s="118"/>
    </row>
    <row r="58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</row>
    <row r="59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118"/>
    </row>
    <row r="60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  <c r="AA60" s="118"/>
      <c r="AB60" s="118"/>
    </row>
    <row r="61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</row>
    <row r="62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</row>
    <row r="63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</row>
    <row r="64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</row>
    <row r="6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  <c r="AA65" s="118"/>
      <c r="AB65" s="118"/>
    </row>
    <row r="66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  <c r="AA66" s="118"/>
      <c r="AB66" s="118"/>
    </row>
    <row r="67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  <c r="AA67" s="118"/>
      <c r="AB67" s="118"/>
    </row>
    <row r="68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118"/>
    </row>
    <row r="69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  <c r="AA69" s="118"/>
      <c r="AB69" s="118"/>
    </row>
    <row r="70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  <c r="AA70" s="118"/>
      <c r="AB70" s="118"/>
    </row>
    <row r="71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</row>
    <row r="72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</row>
    <row r="73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  <c r="AA73" s="118"/>
      <c r="AB73" s="118"/>
    </row>
    <row r="74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</row>
    <row r="75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</row>
    <row r="76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</row>
    <row r="77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</row>
    <row r="78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</row>
    <row r="79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</row>
    <row r="80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</row>
    <row r="81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</row>
    <row r="82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</row>
    <row r="83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</row>
    <row r="84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</row>
    <row r="8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</row>
    <row r="86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</row>
    <row r="11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</row>
    <row r="116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</row>
    <row r="117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</row>
    <row r="118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</row>
    <row r="119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</row>
    <row r="120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</row>
    <row r="12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</row>
    <row r="122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</row>
    <row r="123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</row>
    <row r="124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</row>
    <row r="1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</row>
    <row r="126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</row>
    <row r="127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</row>
    <row r="128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</row>
    <row r="129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</row>
    <row r="130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</row>
    <row r="13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</row>
    <row r="132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</row>
    <row r="133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</row>
    <row r="134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</row>
    <row r="13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</row>
    <row r="136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</row>
    <row r="137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</row>
    <row r="138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</row>
    <row r="139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</row>
    <row r="140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</row>
    <row r="14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</row>
    <row r="142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</row>
    <row r="143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</row>
    <row r="144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</row>
    <row r="14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</row>
    <row r="146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</row>
    <row r="147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</row>
    <row r="148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</row>
    <row r="149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</row>
    <row r="150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</row>
    <row r="15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</row>
    <row r="152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</row>
    <row r="153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</row>
    <row r="154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</row>
    <row r="15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</row>
    <row r="156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</row>
    <row r="157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</row>
    <row r="158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</row>
    <row r="159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</row>
    <row r="160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</row>
    <row r="16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</row>
    <row r="162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</row>
    <row r="163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</row>
    <row r="164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</row>
    <row r="16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</row>
    <row r="166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</row>
    <row r="167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</row>
    <row r="168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</row>
    <row r="169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</row>
    <row r="170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</row>
    <row r="17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</row>
    <row r="172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</row>
    <row r="173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</row>
    <row r="174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</row>
    <row r="17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</row>
    <row r="176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</row>
    <row r="177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</row>
    <row r="178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</row>
    <row r="179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</row>
    <row r="180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</row>
    <row r="18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</row>
    <row r="182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</row>
    <row r="183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</row>
    <row r="184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</row>
    <row r="18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</row>
    <row r="186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</row>
    <row r="187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</row>
    <row r="188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</row>
    <row r="189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</row>
    <row r="190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</row>
    <row r="19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</row>
    <row r="192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</row>
    <row r="193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</row>
    <row r="194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</row>
    <row r="19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</row>
    <row r="196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</row>
    <row r="197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</row>
    <row r="198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</row>
    <row r="199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</row>
    <row r="200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</row>
    <row r="20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</row>
    <row r="202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</row>
    <row r="203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</row>
    <row r="204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</row>
    <row r="20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</row>
    <row r="206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</row>
    <row r="207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</row>
    <row r="208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</row>
    <row r="209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</row>
    <row r="210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</row>
    <row r="21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</row>
    <row r="212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</row>
    <row r="213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</row>
    <row r="214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</row>
    <row r="21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</row>
    <row r="216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</row>
    <row r="217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</row>
    <row r="218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</row>
    <row r="219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</row>
    <row r="220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</row>
    <row r="22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</row>
    <row r="222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</row>
    <row r="223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</row>
    <row r="224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</row>
    <row r="2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</row>
    <row r="226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</row>
    <row r="227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</row>
    <row r="228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</row>
    <row r="229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</row>
    <row r="230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</row>
    <row r="23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</row>
    <row r="232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</row>
    <row r="233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</row>
    <row r="234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</row>
    <row r="23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</row>
    <row r="236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</row>
    <row r="237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</row>
    <row r="238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</row>
    <row r="239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</row>
    <row r="240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</row>
    <row r="24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</row>
    <row r="242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</row>
    <row r="243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</row>
    <row r="244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</row>
    <row r="24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</row>
    <row r="246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</row>
    <row r="247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</row>
    <row r="248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</row>
    <row r="249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</row>
    <row r="250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</row>
    <row r="25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</row>
    <row r="252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</row>
    <row r="253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</row>
    <row r="254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</row>
    <row r="25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</row>
    <row r="256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</row>
    <row r="257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</row>
    <row r="258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</row>
    <row r="259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</row>
    <row r="260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</row>
    <row r="26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</row>
    <row r="262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</row>
    <row r="263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</row>
    <row r="264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</row>
    <row r="26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</row>
    <row r="266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</row>
    <row r="267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</row>
    <row r="268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</row>
    <row r="269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</row>
    <row r="270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</row>
    <row r="27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</row>
    <row r="272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</row>
    <row r="273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</row>
    <row r="274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</row>
    <row r="27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  <c r="AA275" s="118"/>
      <c r="AB275" s="118"/>
    </row>
    <row r="276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  <c r="AA276" s="118"/>
      <c r="AB276" s="118"/>
    </row>
    <row r="277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  <c r="AA277" s="118"/>
      <c r="AB277" s="118"/>
    </row>
    <row r="278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  <c r="AA278" s="118"/>
      <c r="AB278" s="118"/>
    </row>
    <row r="279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  <c r="AA279" s="118"/>
      <c r="AB279" s="118"/>
    </row>
    <row r="280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</row>
    <row r="28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  <c r="AA281" s="118"/>
      <c r="AB281" s="118"/>
    </row>
    <row r="282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  <c r="AA282" s="118"/>
      <c r="AB282" s="118"/>
    </row>
    <row r="283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  <c r="AA283" s="118"/>
      <c r="AB283" s="118"/>
    </row>
    <row r="284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  <c r="AA284" s="118"/>
      <c r="AB284" s="118"/>
    </row>
    <row r="285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  <c r="AA285" s="118"/>
      <c r="AB285" s="118"/>
    </row>
    <row r="286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  <c r="AA286" s="118"/>
      <c r="AB286" s="118"/>
    </row>
    <row r="287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  <c r="AA287" s="118"/>
      <c r="AB287" s="118"/>
    </row>
    <row r="288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  <c r="AA288" s="118"/>
      <c r="AB288" s="118"/>
    </row>
    <row r="289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  <c r="AA289" s="118"/>
      <c r="AB289" s="118"/>
    </row>
    <row r="290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  <c r="AA290" s="118"/>
      <c r="AB290" s="118"/>
    </row>
    <row r="29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  <c r="AA291" s="118"/>
      <c r="AB291" s="118"/>
    </row>
    <row r="292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  <c r="AA292" s="118"/>
      <c r="AB292" s="118"/>
    </row>
    <row r="293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  <c r="AA293" s="118"/>
      <c r="AB293" s="118"/>
    </row>
    <row r="294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  <c r="AA294" s="118"/>
      <c r="AB294" s="118"/>
    </row>
    <row r="295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</row>
    <row r="296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</row>
    <row r="297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</row>
    <row r="298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</row>
    <row r="299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</row>
    <row r="300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18"/>
    </row>
    <row r="30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</row>
    <row r="302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</row>
    <row r="303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</row>
    <row r="304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</row>
    <row r="305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</row>
    <row r="306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</row>
    <row r="307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</row>
    <row r="308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</row>
    <row r="309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</row>
    <row r="310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</row>
    <row r="31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</row>
    <row r="312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</row>
    <row r="313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</row>
    <row r="314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</row>
    <row r="315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</row>
    <row r="316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</row>
    <row r="317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</row>
    <row r="318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</row>
    <row r="319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</row>
    <row r="320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</row>
    <row r="32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</row>
    <row r="322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</row>
    <row r="323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</row>
    <row r="324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</row>
    <row r="3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</row>
    <row r="326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</row>
    <row r="327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</row>
    <row r="328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</row>
    <row r="329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</row>
    <row r="330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</row>
    <row r="33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  <c r="AA331" s="118"/>
      <c r="AB331" s="118"/>
    </row>
    <row r="332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  <c r="AA332" s="118"/>
      <c r="AB332" s="118"/>
    </row>
    <row r="333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  <c r="AA333" s="118"/>
      <c r="AB333" s="118"/>
    </row>
    <row r="334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  <c r="AA334" s="118"/>
      <c r="AB334" s="118"/>
    </row>
    <row r="33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  <c r="AA335" s="118"/>
      <c r="AB335" s="118"/>
    </row>
    <row r="336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  <c r="AA336" s="118"/>
      <c r="AB336" s="118"/>
    </row>
    <row r="337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  <c r="AA337" s="118"/>
      <c r="AB337" s="118"/>
    </row>
    <row r="338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  <c r="AA338" s="118"/>
      <c r="AB338" s="118"/>
    </row>
    <row r="339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  <c r="AA339" s="118"/>
      <c r="AB339" s="118"/>
    </row>
    <row r="340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  <c r="AA340" s="118"/>
      <c r="AB340" s="118"/>
    </row>
    <row r="34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  <c r="AA341" s="118"/>
      <c r="AB341" s="118"/>
    </row>
    <row r="342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  <c r="AA342" s="118"/>
      <c r="AB342" s="118"/>
    </row>
    <row r="343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  <c r="AA343" s="118"/>
      <c r="AB343" s="118"/>
    </row>
    <row r="344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  <c r="AA344" s="118"/>
      <c r="AB344" s="118"/>
    </row>
    <row r="34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  <c r="AA345" s="118"/>
      <c r="AB345" s="118"/>
    </row>
    <row r="346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  <c r="AA346" s="118"/>
      <c r="AB346" s="118"/>
    </row>
    <row r="347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  <c r="AA347" s="118"/>
      <c r="AB347" s="118"/>
    </row>
    <row r="348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  <c r="AA348" s="118"/>
      <c r="AB348" s="118"/>
    </row>
    <row r="349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  <c r="AA349" s="118"/>
      <c r="AB349" s="118"/>
    </row>
    <row r="350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  <c r="AA350" s="118"/>
      <c r="AB350" s="118"/>
    </row>
    <row r="35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  <c r="AB351" s="118"/>
    </row>
    <row r="352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18"/>
    </row>
    <row r="353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  <c r="AA353" s="118"/>
      <c r="AB353" s="118"/>
    </row>
    <row r="354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  <c r="AA354" s="118"/>
      <c r="AB354" s="118"/>
    </row>
    <row r="35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  <c r="AA355" s="118"/>
      <c r="AB355" s="118"/>
    </row>
    <row r="356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  <c r="AA356" s="118"/>
      <c r="AB356" s="118"/>
    </row>
    <row r="357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  <c r="AA357" s="118"/>
      <c r="AB357" s="118"/>
    </row>
    <row r="358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  <c r="AA358" s="118"/>
      <c r="AB358" s="118"/>
    </row>
    <row r="359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  <c r="AA359" s="118"/>
      <c r="AB359" s="118"/>
    </row>
    <row r="360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  <c r="AA360" s="118"/>
      <c r="AB360" s="118"/>
    </row>
    <row r="36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  <c r="AA361" s="118"/>
      <c r="AB361" s="118"/>
    </row>
    <row r="362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  <c r="AA362" s="118"/>
      <c r="AB362" s="118"/>
    </row>
    <row r="363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  <c r="AA363" s="118"/>
      <c r="AB363" s="118"/>
    </row>
    <row r="364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  <c r="AA364" s="118"/>
      <c r="AB364" s="118"/>
    </row>
    <row r="36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  <c r="AA365" s="118"/>
      <c r="AB365" s="118"/>
    </row>
    <row r="366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  <c r="AA366" s="118"/>
      <c r="AB366" s="118"/>
    </row>
    <row r="367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  <c r="AA367" s="118"/>
      <c r="AB367" s="118"/>
    </row>
    <row r="368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</row>
    <row r="369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</row>
    <row r="370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</row>
    <row r="37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</row>
    <row r="372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</row>
    <row r="373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</row>
    <row r="374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</row>
    <row r="37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</row>
    <row r="376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</row>
    <row r="377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</row>
    <row r="378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</row>
    <row r="379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</row>
    <row r="380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  <c r="AA380" s="118"/>
      <c r="AB380" s="118"/>
    </row>
    <row r="38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  <c r="AA381" s="118"/>
      <c r="AB381" s="118"/>
    </row>
    <row r="382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  <c r="AA382" s="118"/>
      <c r="AB382" s="118"/>
    </row>
    <row r="383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  <c r="AA383" s="118"/>
      <c r="AB383" s="118"/>
    </row>
    <row r="384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</row>
    <row r="38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  <c r="AA385" s="118"/>
      <c r="AB385" s="118"/>
    </row>
    <row r="386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  <c r="AA386" s="118"/>
      <c r="AB386" s="118"/>
    </row>
    <row r="387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  <c r="AA387" s="118"/>
      <c r="AB387" s="118"/>
    </row>
    <row r="388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  <c r="AA388" s="118"/>
      <c r="AB388" s="118"/>
    </row>
    <row r="389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  <c r="AA389" s="118"/>
      <c r="AB389" s="118"/>
    </row>
    <row r="390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  <c r="AA390" s="118"/>
      <c r="AB390" s="118"/>
    </row>
    <row r="39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  <c r="AA391" s="118"/>
      <c r="AB391" s="118"/>
    </row>
    <row r="392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  <c r="AA392" s="118"/>
      <c r="AB392" s="118"/>
    </row>
    <row r="393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  <c r="AA393" s="118"/>
      <c r="AB393" s="118"/>
    </row>
    <row r="394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  <c r="AA394" s="118"/>
      <c r="AB394" s="118"/>
    </row>
    <row r="39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  <c r="AA395" s="118"/>
      <c r="AB395" s="118"/>
    </row>
    <row r="396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  <c r="AA396" s="118"/>
      <c r="AB396" s="118"/>
    </row>
    <row r="397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  <c r="AA397" s="118"/>
      <c r="AB397" s="118"/>
    </row>
    <row r="398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  <c r="AA398" s="118"/>
      <c r="AB398" s="118"/>
    </row>
    <row r="399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  <c r="AA399" s="118"/>
      <c r="AB399" s="118"/>
    </row>
    <row r="400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  <c r="AA400" s="118"/>
      <c r="AB400" s="118"/>
    </row>
    <row r="40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  <c r="AA401" s="118"/>
      <c r="AB401" s="118"/>
    </row>
    <row r="402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  <c r="AA402" s="118"/>
      <c r="AB402" s="118"/>
    </row>
    <row r="403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  <c r="AA403" s="118"/>
      <c r="AB403" s="118"/>
    </row>
    <row r="404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  <c r="AA404" s="118"/>
      <c r="AB404" s="118"/>
    </row>
    <row r="40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  <c r="AA405" s="118"/>
      <c r="AB405" s="118"/>
    </row>
    <row r="406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  <c r="AA406" s="118"/>
      <c r="AB406" s="118"/>
    </row>
    <row r="407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  <c r="AA407" s="118"/>
      <c r="AB407" s="118"/>
    </row>
    <row r="408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  <c r="AA408" s="118"/>
      <c r="AB408" s="118"/>
    </row>
    <row r="409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  <c r="AA409" s="118"/>
      <c r="AB409" s="118"/>
    </row>
    <row r="410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  <c r="AA410" s="118"/>
      <c r="AB410" s="118"/>
    </row>
    <row r="41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  <c r="AA411" s="118"/>
      <c r="AB411" s="118"/>
    </row>
    <row r="412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  <c r="AA412" s="118"/>
      <c r="AB412" s="118"/>
    </row>
    <row r="413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  <c r="AA413" s="118"/>
      <c r="AB413" s="118"/>
    </row>
    <row r="414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  <c r="AA414" s="118"/>
      <c r="AB414" s="118"/>
    </row>
    <row r="41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  <c r="AA415" s="118"/>
      <c r="AB415" s="118"/>
    </row>
    <row r="416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  <c r="AA416" s="118"/>
      <c r="AB416" s="118"/>
    </row>
    <row r="417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  <c r="AA417" s="118"/>
      <c r="AB417" s="118"/>
    </row>
    <row r="418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  <c r="AA418" s="118"/>
      <c r="AB418" s="118"/>
    </row>
    <row r="419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  <c r="AA419" s="118"/>
      <c r="AB419" s="118"/>
    </row>
    <row r="420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  <c r="AA420" s="118"/>
      <c r="AB420" s="118"/>
    </row>
    <row r="42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  <c r="AA421" s="118"/>
      <c r="AB421" s="118"/>
    </row>
    <row r="422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  <c r="AA422" s="118"/>
      <c r="AB422" s="118"/>
    </row>
    <row r="423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  <c r="AA423" s="118"/>
      <c r="AB423" s="118"/>
    </row>
    <row r="424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  <c r="AA424" s="118"/>
      <c r="AB424" s="118"/>
    </row>
    <row r="425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  <c r="AA425" s="118"/>
      <c r="AB425" s="118"/>
    </row>
    <row r="426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  <c r="AA426" s="118"/>
      <c r="AB426" s="118"/>
    </row>
    <row r="427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  <c r="AA427" s="118"/>
      <c r="AB427" s="118"/>
    </row>
    <row r="428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  <c r="AA428" s="118"/>
      <c r="AB428" s="118"/>
    </row>
    <row r="429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  <c r="AA429" s="118"/>
      <c r="AB429" s="118"/>
    </row>
    <row r="430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  <c r="AA430" s="118"/>
      <c r="AB430" s="118"/>
    </row>
    <row r="43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  <c r="AA431" s="118"/>
      <c r="AB431" s="118"/>
    </row>
    <row r="432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  <c r="AA432" s="118"/>
      <c r="AB432" s="118"/>
    </row>
    <row r="433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  <c r="AA433" s="118"/>
      <c r="AB433" s="118"/>
    </row>
    <row r="434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  <c r="AA434" s="118"/>
      <c r="AB434" s="118"/>
    </row>
    <row r="435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  <c r="AA435" s="118"/>
      <c r="AB435" s="118"/>
    </row>
    <row r="436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  <c r="AA436" s="118"/>
      <c r="AB436" s="118"/>
    </row>
    <row r="437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  <c r="AA437" s="118"/>
      <c r="AB437" s="118"/>
    </row>
    <row r="438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  <c r="AA438" s="118"/>
      <c r="AB438" s="118"/>
    </row>
    <row r="439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  <c r="AA439" s="118"/>
      <c r="AB439" s="118"/>
    </row>
    <row r="440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  <c r="AA440" s="118"/>
      <c r="AB440" s="118"/>
    </row>
    <row r="44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  <c r="AA441" s="118"/>
      <c r="AB441" s="118"/>
    </row>
    <row r="442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  <c r="AA442" s="118"/>
      <c r="AB442" s="118"/>
    </row>
    <row r="443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  <c r="AA443" s="118"/>
      <c r="AB443" s="118"/>
    </row>
    <row r="444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  <c r="AA444" s="118"/>
      <c r="AB444" s="118"/>
    </row>
    <row r="445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  <c r="AA445" s="118"/>
      <c r="AB445" s="118"/>
    </row>
    <row r="446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  <c r="AB446" s="118"/>
    </row>
    <row r="447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  <c r="AA447" s="118"/>
      <c r="AB447" s="118"/>
    </row>
    <row r="448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  <c r="AA448" s="118"/>
      <c r="AB448" s="118"/>
    </row>
    <row r="449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  <c r="AA449" s="118"/>
      <c r="AB449" s="118"/>
    </row>
    <row r="450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  <c r="AA450" s="118"/>
      <c r="AB450" s="118"/>
    </row>
    <row r="45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  <c r="AA451" s="118"/>
      <c r="AB451" s="118"/>
    </row>
    <row r="452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  <c r="AA452" s="118"/>
      <c r="AB452" s="118"/>
    </row>
    <row r="453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  <c r="AA453" s="118"/>
      <c r="AB453" s="118"/>
    </row>
    <row r="454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  <c r="AA454" s="118"/>
      <c r="AB454" s="118"/>
    </row>
    <row r="455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  <c r="AA455" s="118"/>
      <c r="AB455" s="118"/>
    </row>
    <row r="456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  <c r="AA456" s="118"/>
      <c r="AB456" s="118"/>
    </row>
    <row r="457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  <c r="AA457" s="118"/>
      <c r="AB457" s="118"/>
    </row>
    <row r="458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  <c r="AA458" s="118"/>
      <c r="AB458" s="118"/>
    </row>
    <row r="459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  <c r="AA459" s="118"/>
      <c r="AB459" s="118"/>
    </row>
    <row r="460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  <c r="AA460" s="118"/>
      <c r="AB460" s="118"/>
    </row>
    <row r="46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  <c r="AA461" s="118"/>
      <c r="AB461" s="118"/>
    </row>
    <row r="462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  <c r="AA462" s="118"/>
      <c r="AB462" s="118"/>
    </row>
    <row r="463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  <c r="AA463" s="118"/>
      <c r="AB463" s="118"/>
    </row>
    <row r="464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  <c r="AA464" s="118"/>
      <c r="AB464" s="118"/>
    </row>
    <row r="465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  <c r="AA465" s="118"/>
      <c r="AB465" s="118"/>
    </row>
    <row r="466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  <c r="AA466" s="118"/>
      <c r="AB466" s="118"/>
    </row>
    <row r="467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  <c r="AA467" s="118"/>
      <c r="AB467" s="118"/>
    </row>
    <row r="468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  <c r="AA468" s="118"/>
      <c r="AB468" s="118"/>
    </row>
    <row r="469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  <c r="AA469" s="118"/>
      <c r="AB469" s="118"/>
    </row>
    <row r="470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  <c r="AA470" s="118"/>
      <c r="AB470" s="118"/>
    </row>
    <row r="47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  <c r="AA471" s="118"/>
      <c r="AB471" s="118"/>
    </row>
    <row r="472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  <c r="AA472" s="118"/>
      <c r="AB472" s="118"/>
    </row>
    <row r="473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  <c r="AA473" s="118"/>
      <c r="AB473" s="118"/>
    </row>
    <row r="474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  <c r="AA474" s="118"/>
      <c r="AB474" s="118"/>
    </row>
    <row r="475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  <c r="AA475" s="118"/>
      <c r="AB475" s="118"/>
    </row>
    <row r="476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  <c r="AA476" s="118"/>
      <c r="AB476" s="118"/>
    </row>
    <row r="477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  <c r="AA477" s="118"/>
      <c r="AB477" s="118"/>
    </row>
    <row r="478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  <c r="AA478" s="118"/>
      <c r="AB478" s="118"/>
    </row>
    <row r="479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  <c r="AA479" s="118"/>
      <c r="AB479" s="118"/>
    </row>
    <row r="480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  <c r="AA480" s="118"/>
      <c r="AB480" s="118"/>
    </row>
    <row r="48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  <c r="AA481" s="118"/>
      <c r="AB481" s="118"/>
    </row>
    <row r="482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  <c r="AA482" s="118"/>
      <c r="AB482" s="118"/>
    </row>
    <row r="483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  <c r="AA483" s="118"/>
      <c r="AB483" s="118"/>
    </row>
    <row r="484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  <c r="AA484" s="118"/>
      <c r="AB484" s="118"/>
    </row>
    <row r="485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  <c r="AA485" s="118"/>
      <c r="AB485" s="118"/>
    </row>
    <row r="486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  <c r="AA486" s="118"/>
      <c r="AB486" s="118"/>
    </row>
    <row r="487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  <c r="AA487" s="118"/>
      <c r="AB487" s="118"/>
    </row>
    <row r="488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  <c r="AA488" s="118"/>
      <c r="AB488" s="118"/>
    </row>
    <row r="489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  <c r="AA489" s="118"/>
      <c r="AB489" s="118"/>
    </row>
    <row r="490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  <c r="AA490" s="118"/>
      <c r="AB490" s="118"/>
    </row>
    <row r="49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  <c r="AA491" s="118"/>
      <c r="AB491" s="118"/>
    </row>
    <row r="492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  <c r="AA492" s="118"/>
      <c r="AB492" s="118"/>
    </row>
    <row r="493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  <c r="AA493" s="118"/>
      <c r="AB493" s="118"/>
    </row>
    <row r="494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  <c r="AA494" s="118"/>
      <c r="AB494" s="118"/>
    </row>
    <row r="495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  <c r="AA495" s="118"/>
      <c r="AB495" s="118"/>
    </row>
    <row r="496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  <c r="AA496" s="118"/>
      <c r="AB496" s="118"/>
    </row>
    <row r="497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  <c r="AA497" s="118"/>
      <c r="AB497" s="118"/>
    </row>
    <row r="498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  <c r="AA498" s="118"/>
      <c r="AB498" s="118"/>
    </row>
    <row r="499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  <c r="AA499" s="118"/>
      <c r="AB499" s="118"/>
    </row>
    <row r="500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  <c r="AA500" s="118"/>
      <c r="AB500" s="118"/>
    </row>
    <row r="50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  <c r="AA501" s="118"/>
      <c r="AB501" s="118"/>
    </row>
    <row r="502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  <c r="AA502" s="118"/>
      <c r="AB502" s="118"/>
    </row>
    <row r="503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  <c r="AA503" s="118"/>
      <c r="AB503" s="118"/>
    </row>
    <row r="504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  <c r="AA504" s="118"/>
      <c r="AB504" s="118"/>
    </row>
    <row r="505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  <c r="AA505" s="118"/>
      <c r="AB505" s="118"/>
    </row>
    <row r="506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  <c r="AA506" s="118"/>
      <c r="AB506" s="118"/>
    </row>
    <row r="507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  <c r="AA507" s="118"/>
      <c r="AB507" s="118"/>
    </row>
    <row r="508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  <c r="AA508" s="118"/>
      <c r="AB508" s="118"/>
    </row>
    <row r="509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  <c r="AA509" s="118"/>
      <c r="AB509" s="118"/>
    </row>
    <row r="510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  <c r="AA510" s="118"/>
      <c r="AB510" s="118"/>
    </row>
    <row r="51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  <c r="AA511" s="118"/>
      <c r="AB511" s="118"/>
    </row>
    <row r="512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  <c r="AA512" s="118"/>
      <c r="AB512" s="118"/>
    </row>
    <row r="513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  <c r="AA513" s="118"/>
      <c r="AB513" s="118"/>
    </row>
    <row r="514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  <c r="AA514" s="118"/>
      <c r="AB514" s="118"/>
    </row>
    <row r="515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  <c r="AA515" s="118"/>
      <c r="AB515" s="118"/>
    </row>
    <row r="516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  <c r="AA516" s="118"/>
      <c r="AB516" s="118"/>
    </row>
    <row r="517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  <c r="AA517" s="118"/>
      <c r="AB517" s="118"/>
    </row>
    <row r="518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  <c r="AA518" s="118"/>
      <c r="AB518" s="118"/>
    </row>
    <row r="519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  <c r="AA519" s="118"/>
      <c r="AB519" s="118"/>
    </row>
    <row r="520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  <c r="AA520" s="118"/>
      <c r="AB520" s="118"/>
    </row>
    <row r="52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  <c r="AA521" s="118"/>
      <c r="AB521" s="118"/>
    </row>
    <row r="522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  <c r="AA522" s="118"/>
      <c r="AB522" s="118"/>
    </row>
    <row r="523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  <c r="AA523" s="118"/>
      <c r="AB523" s="118"/>
    </row>
    <row r="524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  <c r="AA524" s="118"/>
      <c r="AB524" s="118"/>
    </row>
    <row r="525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  <c r="AA525" s="118"/>
      <c r="AB525" s="118"/>
    </row>
    <row r="526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  <c r="AA526" s="118"/>
      <c r="AB526" s="118"/>
    </row>
    <row r="527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  <c r="AA527" s="118"/>
      <c r="AB527" s="118"/>
    </row>
    <row r="528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  <c r="AA528" s="118"/>
      <c r="AB528" s="118"/>
    </row>
    <row r="529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  <c r="AA529" s="118"/>
      <c r="AB529" s="118"/>
    </row>
    <row r="530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  <c r="AA530" s="118"/>
      <c r="AB530" s="118"/>
    </row>
    <row r="53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  <c r="AA531" s="118"/>
      <c r="AB531" s="118"/>
    </row>
    <row r="532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  <c r="AA532" s="118"/>
      <c r="AB532" s="118"/>
    </row>
    <row r="533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  <c r="AA533" s="118"/>
      <c r="AB533" s="118"/>
    </row>
    <row r="534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  <c r="AA534" s="118"/>
      <c r="AB534" s="118"/>
    </row>
    <row r="535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  <c r="AA535" s="118"/>
      <c r="AB535" s="118"/>
    </row>
    <row r="536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  <c r="AA536" s="118"/>
      <c r="AB536" s="118"/>
    </row>
    <row r="537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  <c r="AA537" s="118"/>
      <c r="AB537" s="118"/>
    </row>
    <row r="538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  <c r="AA538" s="118"/>
      <c r="AB538" s="118"/>
    </row>
    <row r="539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  <c r="AA539" s="118"/>
      <c r="AB539" s="118"/>
    </row>
    <row r="540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  <c r="AA540" s="118"/>
      <c r="AB540" s="118"/>
    </row>
    <row r="54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  <c r="AA541" s="118"/>
      <c r="AB541" s="118"/>
    </row>
    <row r="542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  <c r="AA542" s="118"/>
      <c r="AB542" s="118"/>
    </row>
    <row r="543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  <c r="AA543" s="118"/>
      <c r="AB543" s="118"/>
    </row>
    <row r="544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  <c r="AA544" s="118"/>
      <c r="AB544" s="118"/>
    </row>
    <row r="545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  <c r="AA545" s="118"/>
      <c r="AB545" s="118"/>
    </row>
    <row r="546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  <c r="AA546" s="118"/>
      <c r="AB546" s="118"/>
    </row>
    <row r="547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  <c r="AA547" s="118"/>
      <c r="AB547" s="118"/>
    </row>
    <row r="548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  <c r="AA548" s="118"/>
      <c r="AB548" s="118"/>
    </row>
    <row r="549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  <c r="AA549" s="118"/>
      <c r="AB549" s="118"/>
    </row>
    <row r="550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  <c r="AA550" s="118"/>
      <c r="AB550" s="118"/>
    </row>
    <row r="55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  <c r="AA551" s="118"/>
      <c r="AB551" s="118"/>
    </row>
    <row r="552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  <c r="AA552" s="118"/>
      <c r="AB552" s="118"/>
    </row>
    <row r="553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  <c r="AA553" s="118"/>
      <c r="AB553" s="118"/>
    </row>
    <row r="554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  <c r="AA554" s="118"/>
      <c r="AB554" s="118"/>
    </row>
    <row r="555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  <c r="AA555" s="118"/>
      <c r="AB555" s="118"/>
    </row>
    <row r="556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  <c r="AA556" s="118"/>
      <c r="AB556" s="118"/>
    </row>
    <row r="557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  <c r="AA557" s="118"/>
      <c r="AB557" s="118"/>
    </row>
    <row r="558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  <c r="AA558" s="118"/>
      <c r="AB558" s="118"/>
    </row>
    <row r="559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  <c r="AA559" s="118"/>
      <c r="AB559" s="118"/>
    </row>
    <row r="560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  <c r="AA560" s="118"/>
      <c r="AB560" s="118"/>
    </row>
    <row r="56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  <c r="AA561" s="118"/>
      <c r="AB561" s="118"/>
    </row>
    <row r="562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  <c r="AA562" s="118"/>
      <c r="AB562" s="118"/>
    </row>
    <row r="563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  <c r="AA563" s="118"/>
      <c r="AB563" s="118"/>
    </row>
    <row r="564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  <c r="AA564" s="118"/>
      <c r="AB564" s="118"/>
    </row>
    <row r="565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  <c r="AA565" s="118"/>
      <c r="AB565" s="118"/>
    </row>
    <row r="566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  <c r="AA566" s="118"/>
      <c r="AB566" s="118"/>
    </row>
    <row r="567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  <c r="AA567" s="118"/>
      <c r="AB567" s="118"/>
    </row>
    <row r="568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  <c r="AA568" s="118"/>
      <c r="AB568" s="118"/>
    </row>
    <row r="569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  <c r="AA569" s="118"/>
      <c r="AB569" s="118"/>
    </row>
    <row r="570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  <c r="AA570" s="118"/>
      <c r="AB570" s="118"/>
    </row>
    <row r="57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  <c r="AA571" s="118"/>
      <c r="AB571" s="118"/>
    </row>
    <row r="572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  <c r="AA572" s="118"/>
      <c r="AB572" s="118"/>
    </row>
    <row r="573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  <c r="AA573" s="118"/>
      <c r="AB573" s="118"/>
    </row>
    <row r="574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  <c r="AA574" s="118"/>
      <c r="AB574" s="118"/>
    </row>
    <row r="575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  <c r="AA575" s="118"/>
      <c r="AB575" s="118"/>
    </row>
    <row r="576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  <c r="AA576" s="118"/>
      <c r="AB576" s="118"/>
    </row>
    <row r="577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  <c r="AA577" s="118"/>
      <c r="AB577" s="118"/>
    </row>
    <row r="578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  <c r="AA578" s="118"/>
      <c r="AB578" s="118"/>
    </row>
    <row r="579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  <c r="AA579" s="118"/>
      <c r="AB579" s="118"/>
    </row>
    <row r="580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  <c r="AA580" s="118"/>
      <c r="AB580" s="118"/>
    </row>
    <row r="58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  <c r="AA581" s="118"/>
      <c r="AB581" s="118"/>
    </row>
    <row r="582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  <c r="AA582" s="118"/>
      <c r="AB582" s="118"/>
    </row>
    <row r="583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  <c r="AA583" s="118"/>
      <c r="AB583" s="118"/>
    </row>
    <row r="584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  <c r="AA584" s="118"/>
      <c r="AB584" s="118"/>
    </row>
    <row r="585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  <c r="AA585" s="118"/>
      <c r="AB585" s="118"/>
    </row>
    <row r="586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  <c r="AA586" s="118"/>
      <c r="AB586" s="118"/>
    </row>
    <row r="587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  <c r="AA587" s="118"/>
      <c r="AB587" s="118"/>
    </row>
    <row r="588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  <c r="AA588" s="118"/>
      <c r="AB588" s="118"/>
    </row>
    <row r="589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  <c r="AA589" s="118"/>
      <c r="AB589" s="118"/>
    </row>
    <row r="590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  <c r="AA590" s="118"/>
      <c r="AB590" s="118"/>
    </row>
    <row r="59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  <c r="AA591" s="118"/>
      <c r="AB591" s="118"/>
    </row>
    <row r="592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  <c r="AA592" s="118"/>
      <c r="AB592" s="118"/>
    </row>
    <row r="593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  <c r="AA593" s="118"/>
      <c r="AB593" s="118"/>
    </row>
    <row r="594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  <c r="AA594" s="118"/>
      <c r="AB594" s="118"/>
    </row>
    <row r="595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  <c r="AA595" s="118"/>
      <c r="AB595" s="118"/>
    </row>
    <row r="596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  <c r="AA596" s="118"/>
      <c r="AB596" s="118"/>
    </row>
    <row r="597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  <c r="AA597" s="118"/>
      <c r="AB597" s="118"/>
    </row>
    <row r="598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  <c r="AA598" s="118"/>
      <c r="AB598" s="118"/>
    </row>
    <row r="599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  <c r="AA599" s="118"/>
      <c r="AB599" s="118"/>
    </row>
    <row r="600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  <c r="AA600" s="118"/>
      <c r="AB600" s="118"/>
    </row>
    <row r="60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  <c r="AA601" s="118"/>
      <c r="AB601" s="118"/>
    </row>
    <row r="602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  <c r="AA602" s="118"/>
      <c r="AB602" s="118"/>
    </row>
    <row r="603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  <c r="AA603" s="118"/>
      <c r="AB603" s="118"/>
    </row>
    <row r="604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  <c r="AA604" s="118"/>
      <c r="AB604" s="118"/>
    </row>
    <row r="605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  <c r="AA605" s="118"/>
      <c r="AB605" s="118"/>
    </row>
    <row r="606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  <c r="AA606" s="118"/>
      <c r="AB606" s="118"/>
    </row>
    <row r="607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  <c r="AA607" s="118"/>
      <c r="AB607" s="118"/>
    </row>
    <row r="608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  <c r="AA608" s="118"/>
      <c r="AB608" s="118"/>
    </row>
    <row r="609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  <c r="AA609" s="118"/>
      <c r="AB609" s="118"/>
    </row>
    <row r="610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  <c r="AA610" s="118"/>
      <c r="AB610" s="118"/>
    </row>
    <row r="61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  <c r="AA611" s="118"/>
      <c r="AB611" s="118"/>
    </row>
    <row r="612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  <c r="AA612" s="118"/>
      <c r="AB612" s="118"/>
    </row>
    <row r="613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  <c r="AA613" s="118"/>
      <c r="AB613" s="118"/>
    </row>
    <row r="614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  <c r="AA614" s="118"/>
      <c r="AB614" s="118"/>
    </row>
    <row r="615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  <c r="AA615" s="118"/>
      <c r="AB615" s="118"/>
    </row>
    <row r="616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  <c r="AA616" s="118"/>
      <c r="AB616" s="118"/>
    </row>
    <row r="617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  <c r="AA617" s="118"/>
      <c r="AB617" s="118"/>
    </row>
    <row r="618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  <c r="AA618" s="118"/>
      <c r="AB618" s="118"/>
    </row>
    <row r="619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  <c r="AA619" s="118"/>
      <c r="AB619" s="118"/>
    </row>
    <row r="620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  <c r="AA620" s="118"/>
      <c r="AB620" s="118"/>
    </row>
    <row r="62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  <c r="AA621" s="118"/>
      <c r="AB621" s="118"/>
    </row>
    <row r="622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  <c r="AA622" s="118"/>
      <c r="AB622" s="118"/>
    </row>
    <row r="623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  <c r="AA623" s="118"/>
      <c r="AB623" s="118"/>
    </row>
    <row r="624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  <c r="AA624" s="118"/>
      <c r="AB624" s="118"/>
    </row>
    <row r="625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  <c r="AA625" s="118"/>
      <c r="AB625" s="118"/>
    </row>
    <row r="626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  <c r="AA626" s="118"/>
      <c r="AB626" s="118"/>
    </row>
    <row r="627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  <c r="AA627" s="118"/>
      <c r="AB627" s="118"/>
    </row>
    <row r="628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  <c r="AA628" s="118"/>
      <c r="AB628" s="118"/>
    </row>
    <row r="629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  <c r="AA629" s="118"/>
      <c r="AB629" s="118"/>
    </row>
    <row r="630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  <c r="AA630" s="118"/>
      <c r="AB630" s="118"/>
    </row>
    <row r="63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  <c r="AA631" s="118"/>
      <c r="AB631" s="118"/>
    </row>
    <row r="632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  <c r="AA632" s="118"/>
      <c r="AB632" s="118"/>
    </row>
    <row r="633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  <c r="AA633" s="118"/>
      <c r="AB633" s="118"/>
    </row>
    <row r="634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  <c r="AA634" s="118"/>
      <c r="AB634" s="118"/>
    </row>
    <row r="635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  <c r="AA635" s="118"/>
      <c r="AB635" s="118"/>
    </row>
    <row r="636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  <c r="AA636" s="118"/>
      <c r="AB636" s="118"/>
    </row>
    <row r="637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  <c r="AA637" s="118"/>
      <c r="AB637" s="118"/>
    </row>
    <row r="638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  <c r="AA638" s="118"/>
      <c r="AB638" s="118"/>
    </row>
    <row r="639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  <c r="AA639" s="118"/>
      <c r="AB639" s="118"/>
    </row>
    <row r="640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  <c r="AA640" s="118"/>
      <c r="AB640" s="118"/>
    </row>
    <row r="64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  <c r="AA641" s="118"/>
      <c r="AB641" s="118"/>
    </row>
    <row r="642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  <c r="AA642" s="118"/>
      <c r="AB642" s="118"/>
    </row>
    <row r="643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  <c r="AA643" s="118"/>
      <c r="AB643" s="118"/>
    </row>
    <row r="644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  <c r="AA644" s="118"/>
      <c r="AB644" s="118"/>
    </row>
    <row r="645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  <c r="AA645" s="118"/>
      <c r="AB645" s="118"/>
    </row>
    <row r="646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  <c r="AA646" s="118"/>
      <c r="AB646" s="118"/>
    </row>
    <row r="647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  <c r="AA647" s="118"/>
      <c r="AB647" s="118"/>
    </row>
    <row r="648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  <c r="AA648" s="118"/>
      <c r="AB648" s="118"/>
    </row>
    <row r="649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  <c r="AA649" s="118"/>
      <c r="AB649" s="118"/>
    </row>
    <row r="650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  <c r="AA650" s="118"/>
      <c r="AB650" s="118"/>
    </row>
    <row r="65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  <c r="AA651" s="118"/>
      <c r="AB651" s="118"/>
    </row>
    <row r="652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  <c r="AA652" s="118"/>
      <c r="AB652" s="118"/>
    </row>
    <row r="653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  <c r="AA653" s="118"/>
      <c r="AB653" s="118"/>
    </row>
    <row r="654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  <c r="AA654" s="118"/>
      <c r="AB654" s="118"/>
    </row>
    <row r="655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  <c r="AA655" s="118"/>
      <c r="AB655" s="118"/>
    </row>
    <row r="656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  <c r="AA656" s="118"/>
      <c r="AB656" s="118"/>
    </row>
    <row r="657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  <c r="AA657" s="118"/>
      <c r="AB657" s="118"/>
    </row>
    <row r="658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  <c r="AA658" s="118"/>
      <c r="AB658" s="118"/>
    </row>
    <row r="659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  <c r="AA659" s="118"/>
      <c r="AB659" s="118"/>
    </row>
    <row r="660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  <c r="AA660" s="118"/>
      <c r="AB660" s="118"/>
    </row>
    <row r="66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  <c r="AA661" s="118"/>
      <c r="AB661" s="118"/>
    </row>
    <row r="662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  <c r="AA662" s="118"/>
      <c r="AB662" s="118"/>
    </row>
    <row r="663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  <c r="AA663" s="118"/>
      <c r="AB663" s="118"/>
    </row>
    <row r="664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  <c r="AA664" s="118"/>
      <c r="AB664" s="118"/>
    </row>
    <row r="665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  <c r="AA665" s="118"/>
      <c r="AB665" s="118"/>
    </row>
    <row r="666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  <c r="AA666" s="118"/>
      <c r="AB666" s="118"/>
    </row>
    <row r="667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  <c r="AA667" s="118"/>
      <c r="AB667" s="118"/>
    </row>
    <row r="668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  <c r="AA668" s="118"/>
      <c r="AB668" s="118"/>
    </row>
    <row r="669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  <c r="AA669" s="118"/>
      <c r="AB669" s="118"/>
    </row>
    <row r="670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  <c r="AA670" s="118"/>
      <c r="AB670" s="118"/>
    </row>
    <row r="67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  <c r="AA671" s="118"/>
      <c r="AB671" s="118"/>
    </row>
    <row r="672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  <c r="AA672" s="118"/>
      <c r="AB672" s="118"/>
    </row>
    <row r="673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  <c r="AA673" s="118"/>
      <c r="AB673" s="118"/>
    </row>
    <row r="674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  <c r="AA674" s="118"/>
      <c r="AB674" s="118"/>
    </row>
    <row r="675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  <c r="AA675" s="118"/>
      <c r="AB675" s="118"/>
    </row>
    <row r="676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  <c r="AA676" s="118"/>
      <c r="AB676" s="118"/>
    </row>
    <row r="677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  <c r="AA677" s="118"/>
      <c r="AB677" s="118"/>
    </row>
    <row r="678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  <c r="AA678" s="118"/>
      <c r="AB678" s="118"/>
    </row>
    <row r="679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  <c r="AA679" s="118"/>
      <c r="AB679" s="118"/>
    </row>
    <row r="680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  <c r="AA680" s="118"/>
      <c r="AB680" s="118"/>
    </row>
    <row r="68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  <c r="AA681" s="118"/>
      <c r="AB681" s="118"/>
    </row>
    <row r="682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  <c r="AA682" s="118"/>
      <c r="AB682" s="118"/>
    </row>
    <row r="683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  <c r="AA683" s="118"/>
      <c r="AB683" s="118"/>
    </row>
    <row r="684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  <c r="AA684" s="118"/>
      <c r="AB684" s="118"/>
    </row>
    <row r="685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  <c r="AA685" s="118"/>
      <c r="AB685" s="118"/>
    </row>
    <row r="686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  <c r="AA686" s="118"/>
      <c r="AB686" s="118"/>
    </row>
    <row r="687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  <c r="AA687" s="118"/>
      <c r="AB687" s="118"/>
    </row>
    <row r="688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  <c r="AA688" s="118"/>
      <c r="AB688" s="118"/>
    </row>
    <row r="689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  <c r="AA689" s="118"/>
      <c r="AB689" s="118"/>
    </row>
    <row r="690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  <c r="AA690" s="118"/>
      <c r="AB690" s="118"/>
    </row>
    <row r="69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  <c r="AA691" s="118"/>
      <c r="AB691" s="118"/>
    </row>
    <row r="692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  <c r="AA692" s="118"/>
      <c r="AB692" s="118"/>
    </row>
    <row r="693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  <c r="AA693" s="118"/>
      <c r="AB693" s="118"/>
    </row>
    <row r="694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  <c r="AA694" s="118"/>
      <c r="AB694" s="118"/>
    </row>
    <row r="695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  <c r="AA695" s="118"/>
      <c r="AB695" s="118"/>
    </row>
    <row r="696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  <c r="AA696" s="118"/>
      <c r="AB696" s="118"/>
    </row>
    <row r="697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  <c r="AA697" s="118"/>
      <c r="AB697" s="118"/>
    </row>
    <row r="698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  <c r="AA698" s="118"/>
      <c r="AB698" s="118"/>
    </row>
    <row r="699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  <c r="AA699" s="118"/>
      <c r="AB699" s="118"/>
    </row>
    <row r="700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  <c r="AA700" s="118"/>
      <c r="AB700" s="118"/>
    </row>
    <row r="70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  <c r="AA701" s="118"/>
      <c r="AB701" s="118"/>
    </row>
    <row r="702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  <c r="AA702" s="118"/>
      <c r="AB702" s="118"/>
    </row>
    <row r="703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  <c r="AA703" s="118"/>
      <c r="AB703" s="118"/>
    </row>
    <row r="704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  <c r="AA704" s="118"/>
      <c r="AB704" s="118"/>
    </row>
    <row r="705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  <c r="AA705" s="118"/>
      <c r="AB705" s="118"/>
    </row>
    <row r="706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  <c r="AA706" s="118"/>
      <c r="AB706" s="118"/>
    </row>
    <row r="707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  <c r="AA707" s="118"/>
      <c r="AB707" s="118"/>
    </row>
    <row r="708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  <c r="AA708" s="118"/>
      <c r="AB708" s="118"/>
    </row>
    <row r="709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  <c r="AA709" s="118"/>
      <c r="AB709" s="118"/>
    </row>
    <row r="710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  <c r="AA710" s="118"/>
      <c r="AB710" s="118"/>
    </row>
    <row r="71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  <c r="AA711" s="118"/>
      <c r="AB711" s="118"/>
    </row>
    <row r="712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  <c r="AA712" s="118"/>
      <c r="AB712" s="118"/>
    </row>
    <row r="713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  <c r="AA713" s="118"/>
      <c r="AB713" s="118"/>
    </row>
    <row r="714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  <c r="AA714" s="118"/>
      <c r="AB714" s="118"/>
    </row>
    <row r="715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  <c r="AA715" s="118"/>
      <c r="AB715" s="118"/>
    </row>
    <row r="716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  <c r="AA716" s="118"/>
      <c r="AB716" s="118"/>
    </row>
    <row r="717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  <c r="AA717" s="118"/>
      <c r="AB717" s="118"/>
    </row>
    <row r="718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  <c r="AA718" s="118"/>
      <c r="AB718" s="118"/>
    </row>
    <row r="719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  <c r="AA719" s="118"/>
      <c r="AB719" s="118"/>
    </row>
    <row r="720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  <c r="AA720" s="118"/>
      <c r="AB720" s="118"/>
    </row>
    <row r="72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  <c r="AA721" s="118"/>
      <c r="AB721" s="118"/>
    </row>
    <row r="722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  <c r="AA722" s="118"/>
      <c r="AB722" s="118"/>
    </row>
    <row r="723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  <c r="AA723" s="118"/>
      <c r="AB723" s="118"/>
    </row>
    <row r="724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  <c r="AA724" s="118"/>
      <c r="AB724" s="118"/>
    </row>
    <row r="725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  <c r="AA725" s="118"/>
      <c r="AB725" s="118"/>
    </row>
    <row r="726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  <c r="AA726" s="118"/>
      <c r="AB726" s="118"/>
    </row>
    <row r="727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  <c r="AA727" s="118"/>
      <c r="AB727" s="118"/>
    </row>
    <row r="728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  <c r="AA728" s="118"/>
      <c r="AB728" s="118"/>
    </row>
    <row r="729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  <c r="AA729" s="118"/>
      <c r="AB729" s="118"/>
    </row>
    <row r="730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  <c r="AA730" s="118"/>
      <c r="AB730" s="118"/>
    </row>
    <row r="73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  <c r="AA731" s="118"/>
      <c r="AB731" s="118"/>
    </row>
    <row r="732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  <c r="AA732" s="118"/>
      <c r="AB732" s="118"/>
    </row>
    <row r="733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  <c r="AA733" s="118"/>
      <c r="AB733" s="118"/>
    </row>
    <row r="734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  <c r="AA734" s="118"/>
      <c r="AB734" s="118"/>
    </row>
    <row r="735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  <c r="AA735" s="118"/>
      <c r="AB735" s="118"/>
    </row>
    <row r="736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  <c r="AA736" s="118"/>
      <c r="AB736" s="118"/>
    </row>
    <row r="737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  <c r="AA737" s="118"/>
      <c r="AB737" s="118"/>
    </row>
    <row r="738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  <c r="AA738" s="118"/>
      <c r="AB738" s="118"/>
    </row>
    <row r="739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  <c r="AA739" s="118"/>
      <c r="AB739" s="118"/>
    </row>
    <row r="740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  <c r="AA740" s="118"/>
      <c r="AB740" s="118"/>
    </row>
    <row r="74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  <c r="AA741" s="118"/>
      <c r="AB741" s="118"/>
    </row>
    <row r="742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  <c r="AA742" s="118"/>
      <c r="AB742" s="118"/>
    </row>
    <row r="743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  <c r="AA743" s="118"/>
      <c r="AB743" s="118"/>
    </row>
    <row r="744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  <c r="AA744" s="118"/>
      <c r="AB744" s="118"/>
    </row>
    <row r="745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  <c r="AA745" s="118"/>
      <c r="AB745" s="118"/>
    </row>
    <row r="746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  <c r="AA746" s="118"/>
      <c r="AB746" s="118"/>
    </row>
    <row r="747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  <c r="AA747" s="118"/>
      <c r="AB747" s="118"/>
    </row>
    <row r="748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  <c r="AA748" s="118"/>
      <c r="AB748" s="118"/>
    </row>
    <row r="749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  <c r="AA749" s="118"/>
      <c r="AB749" s="118"/>
    </row>
    <row r="750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  <c r="AA750" s="118"/>
      <c r="AB750" s="118"/>
    </row>
    <row r="75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  <c r="AA751" s="118"/>
      <c r="AB751" s="118"/>
    </row>
    <row r="752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  <c r="AA752" s="118"/>
      <c r="AB752" s="118"/>
    </row>
    <row r="753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  <c r="AA753" s="118"/>
      <c r="AB753" s="118"/>
    </row>
    <row r="754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  <c r="AA754" s="118"/>
      <c r="AB754" s="118"/>
    </row>
    <row r="755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  <c r="AA755" s="118"/>
      <c r="AB755" s="118"/>
    </row>
    <row r="756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  <c r="AA756" s="118"/>
      <c r="AB756" s="118"/>
    </row>
    <row r="757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  <c r="AA757" s="118"/>
      <c r="AB757" s="118"/>
    </row>
    <row r="758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  <c r="AA758" s="118"/>
      <c r="AB758" s="118"/>
    </row>
    <row r="759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  <c r="AA759" s="118"/>
      <c r="AB759" s="118"/>
    </row>
    <row r="760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</row>
    <row r="76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</row>
    <row r="762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</row>
    <row r="763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</row>
    <row r="764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</row>
    <row r="765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</row>
    <row r="766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</row>
    <row r="767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</row>
    <row r="768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</row>
    <row r="769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</row>
    <row r="770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</row>
    <row r="77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</row>
    <row r="772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</row>
    <row r="773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</row>
    <row r="774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</row>
    <row r="775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</row>
    <row r="776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</row>
    <row r="777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</row>
    <row r="778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</row>
    <row r="779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</row>
    <row r="780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</row>
    <row r="78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</row>
    <row r="782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</row>
    <row r="783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</row>
    <row r="784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</row>
    <row r="785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</row>
    <row r="786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</row>
    <row r="787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</row>
    <row r="788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</row>
    <row r="789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</row>
    <row r="790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</row>
    <row r="79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</row>
    <row r="792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</row>
    <row r="793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</row>
    <row r="794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</row>
    <row r="795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</row>
    <row r="796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  <c r="AA796" s="118"/>
      <c r="AB796" s="118"/>
    </row>
    <row r="797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  <c r="AA797" s="118"/>
      <c r="AB797" s="118"/>
    </row>
    <row r="798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  <c r="AA798" s="118"/>
      <c r="AB798" s="118"/>
    </row>
    <row r="799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  <c r="AA799" s="118"/>
      <c r="AB799" s="118"/>
    </row>
    <row r="800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  <c r="AA800" s="118"/>
      <c r="AB800" s="118"/>
    </row>
    <row r="80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  <c r="AA801" s="118"/>
      <c r="AB801" s="118"/>
    </row>
    <row r="802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  <c r="AA802" s="118"/>
      <c r="AB802" s="118"/>
    </row>
    <row r="803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  <c r="AA803" s="118"/>
      <c r="AB803" s="118"/>
    </row>
    <row r="804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  <c r="AA804" s="118"/>
      <c r="AB804" s="118"/>
    </row>
    <row r="805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  <c r="AA805" s="118"/>
      <c r="AB805" s="118"/>
    </row>
    <row r="806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  <c r="AA806" s="118"/>
      <c r="AB806" s="118"/>
    </row>
    <row r="807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  <c r="AA807" s="118"/>
      <c r="AB807" s="118"/>
    </row>
    <row r="808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  <c r="AA808" s="118"/>
      <c r="AB808" s="118"/>
    </row>
    <row r="809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  <c r="AA809" s="118"/>
      <c r="AB809" s="118"/>
    </row>
    <row r="810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  <c r="AA810" s="118"/>
      <c r="AB810" s="118"/>
    </row>
    <row r="81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  <c r="AA811" s="118"/>
      <c r="AB811" s="118"/>
    </row>
    <row r="812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  <c r="AA812" s="118"/>
      <c r="AB812" s="118"/>
    </row>
    <row r="813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  <c r="AA813" s="118"/>
      <c r="AB813" s="118"/>
    </row>
    <row r="814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  <c r="AA814" s="118"/>
      <c r="AB814" s="118"/>
    </row>
    <row r="815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  <c r="AB815" s="118"/>
    </row>
    <row r="816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  <c r="AA816" s="118"/>
      <c r="AB816" s="118"/>
    </row>
    <row r="817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  <c r="AA817" s="118"/>
      <c r="AB817" s="118"/>
    </row>
    <row r="818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  <c r="AA818" s="118"/>
      <c r="AB818" s="118"/>
    </row>
    <row r="819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  <c r="AA819" s="118"/>
      <c r="AB819" s="118"/>
    </row>
    <row r="820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  <c r="AA820" s="118"/>
      <c r="AB820" s="118"/>
    </row>
    <row r="82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  <c r="AA821" s="118"/>
      <c r="AB821" s="118"/>
    </row>
    <row r="822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  <c r="AA822" s="118"/>
      <c r="AB822" s="118"/>
    </row>
    <row r="823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  <c r="AA823" s="118"/>
      <c r="AB823" s="118"/>
    </row>
    <row r="824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  <c r="AA824" s="118"/>
      <c r="AB824" s="118"/>
    </row>
    <row r="825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  <c r="AA825" s="118"/>
      <c r="AB825" s="118"/>
    </row>
    <row r="826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  <c r="AA826" s="118"/>
      <c r="AB826" s="118"/>
    </row>
    <row r="827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  <c r="AA827" s="118"/>
      <c r="AB827" s="118"/>
    </row>
    <row r="828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  <c r="AA828" s="118"/>
      <c r="AB828" s="118"/>
    </row>
    <row r="829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  <c r="AA829" s="118"/>
      <c r="AB829" s="118"/>
    </row>
    <row r="830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  <c r="AA830" s="118"/>
      <c r="AB830" s="118"/>
    </row>
    <row r="83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  <c r="AA831" s="118"/>
      <c r="AB831" s="118"/>
    </row>
    <row r="832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  <c r="AA832" s="118"/>
      <c r="AB832" s="118"/>
    </row>
    <row r="833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</row>
    <row r="834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</row>
    <row r="835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</row>
    <row r="836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</row>
    <row r="837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</row>
    <row r="838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</row>
    <row r="839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</row>
    <row r="840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</row>
    <row r="84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</row>
    <row r="842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</row>
    <row r="843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18"/>
    </row>
    <row r="844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18"/>
    </row>
    <row r="845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  <c r="AA845" s="118"/>
      <c r="AB845" s="118"/>
    </row>
    <row r="846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  <c r="AA846" s="118"/>
      <c r="AB846" s="118"/>
    </row>
    <row r="847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  <c r="AA847" s="118"/>
      <c r="AB847" s="118"/>
    </row>
    <row r="848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  <c r="AA848" s="118"/>
      <c r="AB848" s="118"/>
    </row>
    <row r="849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  <c r="AA849" s="118"/>
      <c r="AB849" s="118"/>
    </row>
    <row r="850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  <c r="AA850" s="118"/>
      <c r="AB850" s="118"/>
    </row>
    <row r="85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  <c r="AA851" s="118"/>
      <c r="AB851" s="118"/>
    </row>
    <row r="852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  <c r="AA852" s="118"/>
      <c r="AB852" s="118"/>
    </row>
    <row r="853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  <c r="AA853" s="118"/>
      <c r="AB853" s="118"/>
    </row>
    <row r="854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  <c r="AA854" s="118"/>
      <c r="AB854" s="118"/>
    </row>
    <row r="855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  <c r="AA855" s="118"/>
      <c r="AB855" s="118"/>
    </row>
    <row r="856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  <c r="AA856" s="118"/>
      <c r="AB856" s="118"/>
    </row>
    <row r="857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  <c r="AA857" s="118"/>
      <c r="AB857" s="118"/>
    </row>
    <row r="858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  <c r="AA858" s="118"/>
      <c r="AB858" s="118"/>
    </row>
    <row r="859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  <c r="AA859" s="118"/>
      <c r="AB859" s="118"/>
    </row>
    <row r="860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  <c r="AA860" s="118"/>
      <c r="AB860" s="118"/>
    </row>
    <row r="86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  <c r="AA861" s="118"/>
      <c r="AB861" s="118"/>
    </row>
    <row r="862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  <c r="AA862" s="118"/>
      <c r="AB862" s="118"/>
    </row>
    <row r="863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  <c r="AA863" s="118"/>
      <c r="AB863" s="118"/>
    </row>
    <row r="864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  <c r="AA864" s="118"/>
      <c r="AB864" s="118"/>
    </row>
    <row r="865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  <c r="AA865" s="118"/>
      <c r="AB865" s="118"/>
    </row>
    <row r="866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  <c r="AA866" s="118"/>
      <c r="AB866" s="118"/>
    </row>
    <row r="867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  <c r="AA867" s="118"/>
      <c r="AB867" s="118"/>
    </row>
    <row r="868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  <c r="AA868" s="118"/>
      <c r="AB868" s="118"/>
    </row>
    <row r="869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  <c r="AA869" s="118"/>
      <c r="AB869" s="118"/>
    </row>
    <row r="870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  <c r="AA870" s="118"/>
      <c r="AB870" s="118"/>
    </row>
    <row r="87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  <c r="AA871" s="118"/>
      <c r="AB871" s="118"/>
    </row>
    <row r="872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  <c r="AA872" s="118"/>
      <c r="AB872" s="118"/>
    </row>
    <row r="873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  <c r="AA873" s="118"/>
      <c r="AB873" s="118"/>
    </row>
    <row r="874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  <c r="AA874" s="118"/>
      <c r="AB874" s="118"/>
    </row>
    <row r="875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  <c r="AB875" s="118"/>
    </row>
    <row r="876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  <c r="AB876" s="118"/>
    </row>
    <row r="877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  <c r="AA877" s="118"/>
      <c r="AB877" s="118"/>
    </row>
    <row r="878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  <c r="AA878" s="118"/>
      <c r="AB878" s="118"/>
    </row>
    <row r="879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  <c r="AA879" s="118"/>
      <c r="AB879" s="118"/>
    </row>
    <row r="880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  <c r="AA880" s="118"/>
      <c r="AB880" s="118"/>
    </row>
    <row r="88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  <c r="AA881" s="118"/>
      <c r="AB881" s="118"/>
    </row>
    <row r="882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  <c r="AA882" s="118"/>
      <c r="AB882" s="118"/>
    </row>
    <row r="883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  <c r="AA883" s="118"/>
      <c r="AB883" s="118"/>
    </row>
    <row r="884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  <c r="AA884" s="118"/>
      <c r="AB884" s="118"/>
    </row>
    <row r="885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  <c r="AA885" s="118"/>
      <c r="AB885" s="118"/>
    </row>
    <row r="886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  <c r="AA886" s="118"/>
      <c r="AB886" s="118"/>
    </row>
    <row r="887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  <c r="AA887" s="118"/>
      <c r="AB887" s="118"/>
    </row>
    <row r="888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  <c r="AA888" s="118"/>
      <c r="AB888" s="118"/>
    </row>
    <row r="889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  <c r="AA889" s="118"/>
      <c r="AB889" s="118"/>
    </row>
    <row r="890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  <c r="AA890" s="118"/>
      <c r="AB890" s="118"/>
    </row>
    <row r="89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  <c r="AA891" s="118"/>
      <c r="AB891" s="118"/>
    </row>
    <row r="892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  <c r="AA892" s="118"/>
      <c r="AB892" s="118"/>
    </row>
    <row r="893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  <c r="AA893" s="118"/>
      <c r="AB893" s="118"/>
    </row>
    <row r="894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  <c r="AA894" s="118"/>
      <c r="AB894" s="118"/>
    </row>
    <row r="895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  <c r="AA895" s="118"/>
      <c r="AB895" s="118"/>
    </row>
    <row r="896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  <c r="AA896" s="118"/>
      <c r="AB896" s="118"/>
    </row>
    <row r="897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  <c r="AA897" s="118"/>
      <c r="AB897" s="118"/>
    </row>
    <row r="898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  <c r="AA898" s="118"/>
      <c r="AB898" s="118"/>
    </row>
    <row r="899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  <c r="AA899" s="118"/>
      <c r="AB899" s="118"/>
    </row>
    <row r="900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  <c r="AA900" s="118"/>
      <c r="AB900" s="118"/>
    </row>
    <row r="90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  <c r="AA901" s="118"/>
      <c r="AB901" s="118"/>
    </row>
    <row r="902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  <c r="AA902" s="118"/>
      <c r="AB902" s="118"/>
    </row>
    <row r="903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  <c r="AA903" s="118"/>
      <c r="AB903" s="118"/>
    </row>
    <row r="904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  <c r="AA904" s="118"/>
      <c r="AB904" s="118"/>
    </row>
    <row r="905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  <c r="AA905" s="118"/>
      <c r="AB905" s="118"/>
    </row>
    <row r="906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  <c r="AA906" s="118"/>
      <c r="AB906" s="118"/>
    </row>
    <row r="907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  <c r="AA907" s="118"/>
      <c r="AB907" s="118"/>
    </row>
    <row r="908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  <c r="AA908" s="118"/>
      <c r="AB908" s="118"/>
    </row>
    <row r="909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  <c r="AA909" s="118"/>
      <c r="AB909" s="118"/>
    </row>
    <row r="910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  <c r="AA910" s="118"/>
      <c r="AB910" s="118"/>
    </row>
    <row r="91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  <c r="AA911" s="118"/>
      <c r="AB911" s="118"/>
    </row>
    <row r="912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  <c r="AA912" s="118"/>
      <c r="AB912" s="118"/>
    </row>
    <row r="913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  <c r="AA913" s="118"/>
      <c r="AB913" s="118"/>
    </row>
    <row r="914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  <c r="AA914" s="118"/>
      <c r="AB914" s="118"/>
    </row>
    <row r="915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  <c r="AA915" s="118"/>
      <c r="AB915" s="118"/>
    </row>
    <row r="916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  <c r="AA916" s="118"/>
      <c r="AB916" s="118"/>
    </row>
    <row r="917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  <c r="AA917" s="118"/>
      <c r="AB917" s="118"/>
    </row>
    <row r="918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  <c r="AA918" s="118"/>
      <c r="AB918" s="118"/>
    </row>
    <row r="919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  <c r="AA919" s="118"/>
      <c r="AB919" s="118"/>
    </row>
    <row r="920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  <c r="AA920" s="118"/>
      <c r="AB920" s="118"/>
    </row>
    <row r="92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  <c r="AA921" s="118"/>
      <c r="AB921" s="118"/>
    </row>
    <row r="922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  <c r="AA922" s="118"/>
      <c r="AB922" s="118"/>
    </row>
    <row r="923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  <c r="AA923" s="118"/>
      <c r="AB923" s="118"/>
    </row>
    <row r="924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  <c r="AA924" s="118"/>
      <c r="AB924" s="118"/>
    </row>
    <row r="925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  <c r="AA925" s="118"/>
      <c r="AB925" s="118"/>
    </row>
    <row r="926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  <c r="AA926" s="118"/>
      <c r="AB926" s="118"/>
    </row>
    <row r="927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  <c r="AA927" s="118"/>
      <c r="AB927" s="118"/>
    </row>
    <row r="928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  <c r="AA928" s="118"/>
      <c r="AB928" s="118"/>
    </row>
    <row r="929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  <c r="AA929" s="118"/>
      <c r="AB929" s="118"/>
    </row>
    <row r="930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  <c r="AA930" s="118"/>
      <c r="AB930" s="118"/>
    </row>
    <row r="93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  <c r="AA931" s="118"/>
      <c r="AB931" s="118"/>
    </row>
    <row r="932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  <c r="AA932" s="118"/>
      <c r="AB932" s="118"/>
    </row>
    <row r="933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  <c r="AA933" s="118"/>
      <c r="AB933" s="118"/>
    </row>
    <row r="934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  <c r="AA934" s="118"/>
      <c r="AB934" s="118"/>
    </row>
    <row r="935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  <c r="AA935" s="118"/>
      <c r="AB935" s="118"/>
    </row>
    <row r="936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  <c r="AA936" s="118"/>
      <c r="AB936" s="118"/>
    </row>
    <row r="937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  <c r="AA937" s="118"/>
      <c r="AB937" s="118"/>
    </row>
    <row r="938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  <c r="AA938" s="118"/>
      <c r="AB938" s="118"/>
    </row>
    <row r="939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  <c r="AA939" s="118"/>
      <c r="AB939" s="118"/>
    </row>
    <row r="940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  <c r="AA940" s="118"/>
      <c r="AB940" s="118"/>
    </row>
    <row r="94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  <c r="AA941" s="118"/>
      <c r="AB941" s="118"/>
    </row>
    <row r="942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  <c r="AA942" s="118"/>
      <c r="AB942" s="118"/>
    </row>
    <row r="943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  <c r="AA943" s="118"/>
      <c r="AB943" s="118"/>
    </row>
    <row r="944">
      <c r="A944" s="118"/>
      <c r="B944" s="118"/>
      <c r="C944" s="118"/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  <c r="S944" s="118"/>
      <c r="T944" s="118"/>
      <c r="U944" s="118"/>
      <c r="V944" s="118"/>
      <c r="W944" s="118"/>
      <c r="X944" s="118"/>
      <c r="Y944" s="118"/>
      <c r="Z944" s="118"/>
      <c r="AA944" s="118"/>
      <c r="AB944" s="118"/>
    </row>
    <row r="945">
      <c r="A945" s="118"/>
      <c r="B945" s="118"/>
      <c r="C945" s="118"/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  <c r="S945" s="118"/>
      <c r="T945" s="118"/>
      <c r="U945" s="118"/>
      <c r="V945" s="118"/>
      <c r="W945" s="118"/>
      <c r="X945" s="118"/>
      <c r="Y945" s="118"/>
      <c r="Z945" s="118"/>
      <c r="AA945" s="118"/>
      <c r="AB945" s="118"/>
    </row>
    <row r="946">
      <c r="A946" s="118"/>
      <c r="B946" s="118"/>
      <c r="C946" s="118"/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  <c r="S946" s="118"/>
      <c r="T946" s="118"/>
      <c r="U946" s="118"/>
      <c r="V946" s="118"/>
      <c r="W946" s="118"/>
      <c r="X946" s="118"/>
      <c r="Y946" s="118"/>
      <c r="Z946" s="118"/>
      <c r="AA946" s="118"/>
      <c r="AB946" s="118"/>
    </row>
    <row r="947">
      <c r="A947" s="118"/>
      <c r="B947" s="118"/>
      <c r="C947" s="118"/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  <c r="S947" s="118"/>
      <c r="T947" s="118"/>
      <c r="U947" s="118"/>
      <c r="V947" s="118"/>
      <c r="W947" s="118"/>
      <c r="X947" s="118"/>
      <c r="Y947" s="118"/>
      <c r="Z947" s="118"/>
      <c r="AA947" s="118"/>
      <c r="AB947" s="118"/>
    </row>
    <row r="948">
      <c r="A948" s="118"/>
      <c r="B948" s="118"/>
      <c r="C948" s="118"/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  <c r="S948" s="118"/>
      <c r="T948" s="118"/>
      <c r="U948" s="118"/>
      <c r="V948" s="118"/>
      <c r="W948" s="118"/>
      <c r="X948" s="118"/>
      <c r="Y948" s="118"/>
      <c r="Z948" s="118"/>
      <c r="AA948" s="118"/>
      <c r="AB948" s="118"/>
    </row>
    <row r="949">
      <c r="A949" s="118"/>
      <c r="B949" s="118"/>
      <c r="C949" s="118"/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  <c r="S949" s="118"/>
      <c r="T949" s="118"/>
      <c r="U949" s="118"/>
      <c r="V949" s="118"/>
      <c r="W949" s="118"/>
      <c r="X949" s="118"/>
      <c r="Y949" s="118"/>
      <c r="Z949" s="118"/>
      <c r="AA949" s="118"/>
      <c r="AB949" s="118"/>
    </row>
    <row r="950">
      <c r="A950" s="118"/>
      <c r="B950" s="118"/>
      <c r="C950" s="118"/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  <c r="S950" s="118"/>
      <c r="T950" s="118"/>
      <c r="U950" s="118"/>
      <c r="V950" s="118"/>
      <c r="W950" s="118"/>
      <c r="X950" s="118"/>
      <c r="Y950" s="118"/>
      <c r="Z950" s="118"/>
      <c r="AA950" s="118"/>
      <c r="AB950" s="118"/>
    </row>
    <row r="951">
      <c r="A951" s="118"/>
      <c r="B951" s="118"/>
      <c r="C951" s="118"/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  <c r="S951" s="118"/>
      <c r="T951" s="118"/>
      <c r="U951" s="118"/>
      <c r="V951" s="118"/>
      <c r="W951" s="118"/>
      <c r="X951" s="118"/>
      <c r="Y951" s="118"/>
      <c r="Z951" s="118"/>
      <c r="AA951" s="118"/>
      <c r="AB951" s="118"/>
    </row>
    <row r="952">
      <c r="A952" s="118"/>
      <c r="B952" s="118"/>
      <c r="C952" s="118"/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  <c r="S952" s="118"/>
      <c r="T952" s="118"/>
      <c r="U952" s="118"/>
      <c r="V952" s="118"/>
      <c r="W952" s="118"/>
      <c r="X952" s="118"/>
      <c r="Y952" s="118"/>
      <c r="Z952" s="118"/>
      <c r="AA952" s="118"/>
      <c r="AB952" s="118"/>
    </row>
    <row r="953">
      <c r="A953" s="118"/>
      <c r="B953" s="118"/>
      <c r="C953" s="118"/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  <c r="S953" s="118"/>
      <c r="T953" s="118"/>
      <c r="U953" s="118"/>
      <c r="V953" s="118"/>
      <c r="W953" s="118"/>
      <c r="X953" s="118"/>
      <c r="Y953" s="118"/>
      <c r="Z953" s="118"/>
      <c r="AA953" s="118"/>
      <c r="AB953" s="118"/>
    </row>
    <row r="954">
      <c r="A954" s="118"/>
      <c r="B954" s="118"/>
      <c r="C954" s="118"/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  <c r="S954" s="118"/>
      <c r="T954" s="118"/>
      <c r="U954" s="118"/>
      <c r="V954" s="118"/>
      <c r="W954" s="118"/>
      <c r="X954" s="118"/>
      <c r="Y954" s="118"/>
      <c r="Z954" s="118"/>
      <c r="AA954" s="118"/>
      <c r="AB954" s="118"/>
    </row>
    <row r="955">
      <c r="A955" s="118"/>
      <c r="B955" s="118"/>
      <c r="C955" s="118"/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  <c r="S955" s="118"/>
      <c r="T955" s="118"/>
      <c r="U955" s="118"/>
      <c r="V955" s="118"/>
      <c r="W955" s="118"/>
      <c r="X955" s="118"/>
      <c r="Y955" s="118"/>
      <c r="Z955" s="118"/>
      <c r="AA955" s="118"/>
      <c r="AB955" s="118"/>
    </row>
    <row r="956">
      <c r="A956" s="118"/>
      <c r="B956" s="118"/>
      <c r="C956" s="118"/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  <c r="S956" s="118"/>
      <c r="T956" s="118"/>
      <c r="U956" s="118"/>
      <c r="V956" s="118"/>
      <c r="W956" s="118"/>
      <c r="X956" s="118"/>
      <c r="Y956" s="118"/>
      <c r="Z956" s="118"/>
      <c r="AA956" s="118"/>
      <c r="AB956" s="118"/>
    </row>
    <row r="957">
      <c r="A957" s="118"/>
      <c r="B957" s="118"/>
      <c r="C957" s="118"/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  <c r="S957" s="118"/>
      <c r="T957" s="118"/>
      <c r="U957" s="118"/>
      <c r="V957" s="118"/>
      <c r="W957" s="118"/>
      <c r="X957" s="118"/>
      <c r="Y957" s="118"/>
      <c r="Z957" s="118"/>
      <c r="AA957" s="118"/>
      <c r="AB957" s="118"/>
    </row>
    <row r="958">
      <c r="A958" s="118"/>
      <c r="B958" s="118"/>
      <c r="C958" s="118"/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  <c r="AB958" s="118"/>
    </row>
    <row r="959">
      <c r="A959" s="118"/>
      <c r="B959" s="118"/>
      <c r="C959" s="118"/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  <c r="AB959" s="118"/>
    </row>
    <row r="960">
      <c r="A960" s="118"/>
      <c r="B960" s="118"/>
      <c r="C960" s="118"/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  <c r="AB960" s="118"/>
    </row>
    <row r="961">
      <c r="A961" s="118"/>
      <c r="B961" s="118"/>
      <c r="C961" s="118"/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  <c r="S961" s="118"/>
      <c r="T961" s="118"/>
      <c r="U961" s="118"/>
      <c r="V961" s="118"/>
      <c r="W961" s="118"/>
      <c r="X961" s="118"/>
      <c r="Y961" s="118"/>
      <c r="Z961" s="118"/>
      <c r="AA961" s="118"/>
      <c r="AB961" s="118"/>
    </row>
    <row r="962">
      <c r="A962" s="118"/>
      <c r="B962" s="118"/>
      <c r="C962" s="118"/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  <c r="S962" s="118"/>
      <c r="T962" s="118"/>
      <c r="U962" s="118"/>
      <c r="V962" s="118"/>
      <c r="W962" s="118"/>
      <c r="X962" s="118"/>
      <c r="Y962" s="118"/>
      <c r="Z962" s="118"/>
      <c r="AA962" s="118"/>
      <c r="AB962" s="118"/>
    </row>
    <row r="963">
      <c r="A963" s="118"/>
      <c r="B963" s="118"/>
      <c r="C963" s="118"/>
      <c r="D963" s="118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  <c r="S963" s="118"/>
      <c r="T963" s="118"/>
      <c r="U963" s="118"/>
      <c r="V963" s="118"/>
      <c r="W963" s="118"/>
      <c r="X963" s="118"/>
      <c r="Y963" s="118"/>
      <c r="Z963" s="118"/>
      <c r="AA963" s="118"/>
      <c r="AB963" s="118"/>
    </row>
    <row r="964">
      <c r="A964" s="118"/>
      <c r="B964" s="118"/>
      <c r="C964" s="118"/>
      <c r="D964" s="118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  <c r="S964" s="118"/>
      <c r="T964" s="118"/>
      <c r="U964" s="118"/>
      <c r="V964" s="118"/>
      <c r="W964" s="118"/>
      <c r="X964" s="118"/>
      <c r="Y964" s="118"/>
      <c r="Z964" s="118"/>
      <c r="AA964" s="118"/>
      <c r="AB964" s="118"/>
    </row>
    <row r="965">
      <c r="A965" s="118"/>
      <c r="B965" s="118"/>
      <c r="C965" s="118"/>
      <c r="D965" s="118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  <c r="S965" s="118"/>
      <c r="T965" s="118"/>
      <c r="U965" s="118"/>
      <c r="V965" s="118"/>
      <c r="W965" s="118"/>
      <c r="X965" s="118"/>
      <c r="Y965" s="118"/>
      <c r="Z965" s="118"/>
      <c r="AA965" s="118"/>
      <c r="AB965" s="118"/>
    </row>
    <row r="966">
      <c r="A966" s="118"/>
      <c r="B966" s="118"/>
      <c r="C966" s="118"/>
      <c r="D966" s="118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  <c r="S966" s="118"/>
      <c r="T966" s="118"/>
      <c r="U966" s="118"/>
      <c r="V966" s="118"/>
      <c r="W966" s="118"/>
      <c r="X966" s="118"/>
      <c r="Y966" s="118"/>
      <c r="Z966" s="118"/>
      <c r="AA966" s="118"/>
      <c r="AB966" s="118"/>
    </row>
    <row r="967">
      <c r="A967" s="118"/>
      <c r="B967" s="118"/>
      <c r="C967" s="118"/>
      <c r="D967" s="118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  <c r="S967" s="118"/>
      <c r="T967" s="118"/>
      <c r="U967" s="118"/>
      <c r="V967" s="118"/>
      <c r="W967" s="118"/>
      <c r="X967" s="118"/>
      <c r="Y967" s="118"/>
      <c r="Z967" s="118"/>
      <c r="AA967" s="118"/>
      <c r="AB967" s="118"/>
    </row>
    <row r="968">
      <c r="A968" s="118"/>
      <c r="B968" s="118"/>
      <c r="C968" s="118"/>
      <c r="D968" s="118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  <c r="S968" s="118"/>
      <c r="T968" s="118"/>
      <c r="U968" s="118"/>
      <c r="V968" s="118"/>
      <c r="W968" s="118"/>
      <c r="X968" s="118"/>
      <c r="Y968" s="118"/>
      <c r="Z968" s="118"/>
      <c r="AA968" s="118"/>
      <c r="AB968" s="118"/>
    </row>
    <row r="969">
      <c r="A969" s="118"/>
      <c r="B969" s="118"/>
      <c r="C969" s="118"/>
      <c r="D969" s="118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  <c r="S969" s="118"/>
      <c r="T969" s="118"/>
      <c r="U969" s="118"/>
      <c r="V969" s="118"/>
      <c r="W969" s="118"/>
      <c r="X969" s="118"/>
      <c r="Y969" s="118"/>
      <c r="Z969" s="118"/>
      <c r="AA969" s="118"/>
      <c r="AB969" s="118"/>
    </row>
    <row r="970">
      <c r="A970" s="118"/>
      <c r="B970" s="118"/>
      <c r="C970" s="118"/>
      <c r="D970" s="118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  <c r="S970" s="118"/>
      <c r="T970" s="118"/>
      <c r="U970" s="118"/>
      <c r="V970" s="118"/>
      <c r="W970" s="118"/>
      <c r="X970" s="118"/>
      <c r="Y970" s="118"/>
      <c r="Z970" s="118"/>
      <c r="AA970" s="118"/>
      <c r="AB970" s="118"/>
    </row>
    <row r="971">
      <c r="A971" s="118"/>
      <c r="B971" s="118"/>
      <c r="C971" s="118"/>
      <c r="D971" s="118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  <c r="S971" s="118"/>
      <c r="T971" s="118"/>
      <c r="U971" s="118"/>
      <c r="V971" s="118"/>
      <c r="W971" s="118"/>
      <c r="X971" s="118"/>
      <c r="Y971" s="118"/>
      <c r="Z971" s="118"/>
      <c r="AA971" s="118"/>
      <c r="AB971" s="118"/>
    </row>
    <row r="972">
      <c r="A972" s="118"/>
      <c r="B972" s="118"/>
      <c r="C972" s="118"/>
      <c r="D972" s="118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  <c r="S972" s="118"/>
      <c r="T972" s="118"/>
      <c r="U972" s="118"/>
      <c r="V972" s="118"/>
      <c r="W972" s="118"/>
      <c r="X972" s="118"/>
      <c r="Y972" s="118"/>
      <c r="Z972" s="118"/>
      <c r="AA972" s="118"/>
      <c r="AB972" s="118"/>
    </row>
    <row r="973">
      <c r="A973" s="118"/>
      <c r="B973" s="118"/>
      <c r="C973" s="118"/>
      <c r="D973" s="118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  <c r="S973" s="118"/>
      <c r="T973" s="118"/>
      <c r="U973" s="118"/>
      <c r="V973" s="118"/>
      <c r="W973" s="118"/>
      <c r="X973" s="118"/>
      <c r="Y973" s="118"/>
      <c r="Z973" s="118"/>
      <c r="AA973" s="118"/>
      <c r="AB973" s="118"/>
    </row>
    <row r="974">
      <c r="A974" s="118"/>
      <c r="B974" s="118"/>
      <c r="C974" s="118"/>
      <c r="D974" s="118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  <c r="S974" s="118"/>
      <c r="T974" s="118"/>
      <c r="U974" s="118"/>
      <c r="V974" s="118"/>
      <c r="W974" s="118"/>
      <c r="X974" s="118"/>
      <c r="Y974" s="118"/>
      <c r="Z974" s="118"/>
      <c r="AA974" s="118"/>
      <c r="AB974" s="118"/>
    </row>
    <row r="975">
      <c r="A975" s="118"/>
      <c r="B975" s="118"/>
      <c r="C975" s="118"/>
      <c r="D975" s="118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  <c r="S975" s="118"/>
      <c r="T975" s="118"/>
      <c r="U975" s="118"/>
      <c r="V975" s="118"/>
      <c r="W975" s="118"/>
      <c r="X975" s="118"/>
      <c r="Y975" s="118"/>
      <c r="Z975" s="118"/>
      <c r="AA975" s="118"/>
      <c r="AB975" s="118"/>
    </row>
    <row r="976">
      <c r="A976" s="118"/>
      <c r="B976" s="118"/>
      <c r="C976" s="118"/>
      <c r="D976" s="118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  <c r="S976" s="118"/>
      <c r="T976" s="118"/>
      <c r="U976" s="118"/>
      <c r="V976" s="118"/>
      <c r="W976" s="118"/>
      <c r="X976" s="118"/>
      <c r="Y976" s="118"/>
      <c r="Z976" s="118"/>
      <c r="AA976" s="118"/>
      <c r="AB976" s="118"/>
    </row>
    <row r="977">
      <c r="A977" s="118"/>
      <c r="B977" s="118"/>
      <c r="C977" s="118"/>
      <c r="D977" s="118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  <c r="S977" s="118"/>
      <c r="T977" s="118"/>
      <c r="U977" s="118"/>
      <c r="V977" s="118"/>
      <c r="W977" s="118"/>
      <c r="X977" s="118"/>
      <c r="Y977" s="118"/>
      <c r="Z977" s="118"/>
      <c r="AA977" s="118"/>
      <c r="AB977" s="118"/>
    </row>
    <row r="978">
      <c r="A978" s="118"/>
      <c r="B978" s="118"/>
      <c r="C978" s="118"/>
      <c r="D978" s="118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  <c r="S978" s="118"/>
      <c r="T978" s="118"/>
      <c r="U978" s="118"/>
      <c r="V978" s="118"/>
      <c r="W978" s="118"/>
      <c r="X978" s="118"/>
      <c r="Y978" s="118"/>
      <c r="Z978" s="118"/>
      <c r="AA978" s="118"/>
      <c r="AB978" s="118"/>
    </row>
    <row r="979">
      <c r="A979" s="118"/>
      <c r="B979" s="118"/>
      <c r="C979" s="118"/>
      <c r="D979" s="118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  <c r="S979" s="118"/>
      <c r="T979" s="118"/>
      <c r="U979" s="118"/>
      <c r="V979" s="118"/>
      <c r="W979" s="118"/>
      <c r="X979" s="118"/>
      <c r="Y979" s="118"/>
      <c r="Z979" s="118"/>
      <c r="AA979" s="118"/>
      <c r="AB979" s="118"/>
    </row>
    <row r="980">
      <c r="A980" s="118"/>
      <c r="B980" s="118"/>
      <c r="C980" s="118"/>
      <c r="D980" s="118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  <c r="S980" s="118"/>
      <c r="T980" s="118"/>
      <c r="U980" s="118"/>
      <c r="V980" s="118"/>
      <c r="W980" s="118"/>
      <c r="X980" s="118"/>
      <c r="Y980" s="118"/>
      <c r="Z980" s="118"/>
      <c r="AA980" s="118"/>
      <c r="AB980" s="118"/>
    </row>
    <row r="981">
      <c r="A981" s="118"/>
      <c r="B981" s="118"/>
      <c r="C981" s="118"/>
      <c r="D981" s="118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  <c r="S981" s="118"/>
      <c r="T981" s="118"/>
      <c r="U981" s="118"/>
      <c r="V981" s="118"/>
      <c r="W981" s="118"/>
      <c r="X981" s="118"/>
      <c r="Y981" s="118"/>
      <c r="Z981" s="118"/>
      <c r="AA981" s="118"/>
      <c r="AB981" s="118"/>
    </row>
    <row r="982">
      <c r="A982" s="118"/>
      <c r="B982" s="118"/>
      <c r="C982" s="118"/>
      <c r="D982" s="118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  <c r="S982" s="118"/>
      <c r="T982" s="118"/>
      <c r="U982" s="118"/>
      <c r="V982" s="118"/>
      <c r="W982" s="118"/>
      <c r="X982" s="118"/>
      <c r="Y982" s="118"/>
      <c r="Z982" s="118"/>
      <c r="AA982" s="118"/>
      <c r="AB982" s="118"/>
    </row>
    <row r="983">
      <c r="A983" s="118"/>
      <c r="B983" s="118"/>
      <c r="C983" s="118"/>
      <c r="D983" s="118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  <c r="S983" s="118"/>
      <c r="T983" s="118"/>
      <c r="U983" s="118"/>
      <c r="V983" s="118"/>
      <c r="W983" s="118"/>
      <c r="X983" s="118"/>
      <c r="Y983" s="118"/>
      <c r="Z983" s="118"/>
      <c r="AA983" s="118"/>
      <c r="AB983" s="118"/>
    </row>
    <row r="984">
      <c r="A984" s="118"/>
      <c r="B984" s="118"/>
      <c r="C984" s="118"/>
      <c r="D984" s="118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  <c r="S984" s="118"/>
      <c r="T984" s="118"/>
      <c r="U984" s="118"/>
      <c r="V984" s="118"/>
      <c r="W984" s="118"/>
      <c r="X984" s="118"/>
      <c r="Y984" s="118"/>
      <c r="Z984" s="118"/>
      <c r="AA984" s="118"/>
      <c r="AB984" s="118"/>
    </row>
    <row r="985">
      <c r="A985" s="118"/>
      <c r="B985" s="118"/>
      <c r="C985" s="118"/>
      <c r="D985" s="118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  <c r="S985" s="118"/>
      <c r="T985" s="118"/>
      <c r="U985" s="118"/>
      <c r="V985" s="118"/>
      <c r="W985" s="118"/>
      <c r="X985" s="118"/>
      <c r="Y985" s="118"/>
      <c r="Z985" s="118"/>
      <c r="AA985" s="118"/>
      <c r="AB985" s="118"/>
    </row>
    <row r="986">
      <c r="A986" s="118"/>
      <c r="B986" s="118"/>
      <c r="C986" s="118"/>
      <c r="D986" s="118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  <c r="S986" s="118"/>
      <c r="T986" s="118"/>
      <c r="U986" s="118"/>
      <c r="V986" s="118"/>
      <c r="W986" s="118"/>
      <c r="X986" s="118"/>
      <c r="Y986" s="118"/>
      <c r="Z986" s="118"/>
      <c r="AA986" s="118"/>
      <c r="AB986" s="118"/>
    </row>
    <row r="987">
      <c r="A987" s="118"/>
      <c r="B987" s="118"/>
      <c r="C987" s="118"/>
      <c r="D987" s="118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  <c r="S987" s="118"/>
      <c r="T987" s="118"/>
      <c r="U987" s="118"/>
      <c r="V987" s="118"/>
      <c r="W987" s="118"/>
      <c r="X987" s="118"/>
      <c r="Y987" s="118"/>
      <c r="Z987" s="118"/>
      <c r="AA987" s="118"/>
      <c r="AB987" s="118"/>
    </row>
    <row r="988">
      <c r="A988" s="118"/>
      <c r="B988" s="118"/>
      <c r="C988" s="118"/>
      <c r="D988" s="118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  <c r="S988" s="118"/>
      <c r="T988" s="118"/>
      <c r="U988" s="118"/>
      <c r="V988" s="118"/>
      <c r="W988" s="118"/>
      <c r="X988" s="118"/>
      <c r="Y988" s="118"/>
      <c r="Z988" s="118"/>
      <c r="AA988" s="118"/>
      <c r="AB988" s="118"/>
    </row>
    <row r="989">
      <c r="A989" s="118"/>
      <c r="B989" s="118"/>
      <c r="C989" s="118"/>
      <c r="D989" s="118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  <c r="S989" s="118"/>
      <c r="T989" s="118"/>
      <c r="U989" s="118"/>
      <c r="V989" s="118"/>
      <c r="W989" s="118"/>
      <c r="X989" s="118"/>
      <c r="Y989" s="118"/>
      <c r="Z989" s="118"/>
      <c r="AA989" s="118"/>
      <c r="AB989" s="118"/>
    </row>
    <row r="990">
      <c r="A990" s="118"/>
      <c r="B990" s="118"/>
      <c r="C990" s="118"/>
      <c r="D990" s="118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  <c r="S990" s="118"/>
      <c r="T990" s="118"/>
      <c r="U990" s="118"/>
      <c r="V990" s="118"/>
      <c r="W990" s="118"/>
      <c r="X990" s="118"/>
      <c r="Y990" s="118"/>
      <c r="Z990" s="118"/>
      <c r="AA990" s="118"/>
      <c r="AB990" s="118"/>
    </row>
    <row r="991">
      <c r="A991" s="118"/>
      <c r="B991" s="118"/>
      <c r="C991" s="118"/>
      <c r="D991" s="118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  <c r="S991" s="118"/>
      <c r="T991" s="118"/>
      <c r="U991" s="118"/>
      <c r="V991" s="118"/>
      <c r="W991" s="118"/>
      <c r="X991" s="118"/>
      <c r="Y991" s="118"/>
      <c r="Z991" s="118"/>
      <c r="AA991" s="118"/>
      <c r="AB991" s="118"/>
    </row>
    <row r="992">
      <c r="A992" s="118"/>
      <c r="B992" s="118"/>
      <c r="C992" s="118"/>
      <c r="D992" s="118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  <c r="S992" s="118"/>
      <c r="T992" s="118"/>
      <c r="U992" s="118"/>
      <c r="V992" s="118"/>
      <c r="W992" s="118"/>
      <c r="X992" s="118"/>
      <c r="Y992" s="118"/>
      <c r="Z992" s="118"/>
      <c r="AA992" s="118"/>
      <c r="AB992" s="118"/>
    </row>
    <row r="993">
      <c r="A993" s="118"/>
      <c r="B993" s="118"/>
      <c r="C993" s="118"/>
      <c r="D993" s="118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  <c r="S993" s="118"/>
      <c r="T993" s="118"/>
      <c r="U993" s="118"/>
      <c r="V993" s="118"/>
      <c r="W993" s="118"/>
      <c r="X993" s="118"/>
      <c r="Y993" s="118"/>
      <c r="Z993" s="118"/>
      <c r="AA993" s="118"/>
      <c r="AB993" s="118"/>
    </row>
  </sheetData>
  <mergeCells count="1">
    <mergeCell ref="C19:D19"/>
  </mergeCells>
  <dataValidations>
    <dataValidation type="list" allowBlank="1" sqref="E19">
      <formula1>"Not started,Ongoing,Completed"</formula1>
    </dataValidation>
    <dataValidation type="custom" allowBlank="1" showDropDown="1" sqref="B6:B18">
      <formula1>AND(ISNUMBER(B6),(NOT(OR(NOT(ISERROR(DATEVALUE(B6))), AND(ISNUMBER(B6), LEFT(CELL("format", B6))="D")))))</formula1>
    </dataValidation>
    <dataValidation type="list" allowBlank="1" sqref="D6:D18">
      <formula1>"Expert Room,CIS Room,Storage Room,Briefing Area"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5.63"/>
    <col customWidth="1" min="3" max="3" width="31.0"/>
    <col customWidth="1" min="4" max="4" width="23.88"/>
    <col customWidth="1" min="5" max="5" width="8.38"/>
    <col customWidth="1" min="6" max="6" width="9.13"/>
    <col customWidth="1" min="7" max="7" width="33.0"/>
    <col customWidth="1" min="8" max="8" width="15.63"/>
    <col customWidth="1" min="9" max="9" width="16.38"/>
    <col customWidth="1" min="10" max="10" width="16.5"/>
    <col customWidth="1" min="11" max="11" width="25.0"/>
    <col customWidth="1" min="12" max="12" width="17.13"/>
  </cols>
  <sheetData>
    <row r="1">
      <c r="A1" s="121"/>
      <c r="B1" s="62" t="str">
        <f>CONCATENATE('0. Checklist'!D1, " ", '0. Checklist'!D2)</f>
        <v>9 IT Software Solutions for Business</v>
      </c>
      <c r="C1" s="89"/>
      <c r="D1" s="121"/>
      <c r="E1" s="142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</row>
    <row r="2">
      <c r="A2" s="121"/>
      <c r="B2" s="143" t="s">
        <v>31</v>
      </c>
      <c r="C2" s="144" t="s">
        <v>194</v>
      </c>
      <c r="D2" s="121"/>
      <c r="E2" s="142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</row>
    <row r="3">
      <c r="A3" s="121"/>
      <c r="B3" s="143" t="s">
        <v>31</v>
      </c>
      <c r="C3" s="8" t="s">
        <v>195</v>
      </c>
      <c r="D3" s="121"/>
      <c r="E3" s="142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</row>
    <row r="4">
      <c r="A4" s="67"/>
      <c r="B4" s="145"/>
      <c r="C4" s="145"/>
      <c r="D4" s="65"/>
      <c r="E4" s="145"/>
      <c r="F4" s="145"/>
      <c r="G4" s="145"/>
      <c r="H4" s="65"/>
      <c r="I4" s="145"/>
      <c r="J4" s="145"/>
      <c r="K4" s="145"/>
      <c r="L4" s="25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</row>
    <row r="5" ht="21.0" customHeight="1">
      <c r="A5" s="67"/>
      <c r="B5" s="146"/>
      <c r="C5" s="147" t="s">
        <v>148</v>
      </c>
      <c r="D5" s="140"/>
      <c r="E5" s="148" t="s">
        <v>10</v>
      </c>
      <c r="F5" s="140"/>
      <c r="G5" s="149" t="s">
        <v>134</v>
      </c>
      <c r="H5" s="65"/>
      <c r="I5" s="145"/>
      <c r="J5" s="145"/>
      <c r="K5" s="145"/>
      <c r="L5" s="25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</row>
    <row r="6" ht="21.0" customHeight="1">
      <c r="A6" s="67"/>
      <c r="B6" s="150">
        <v>1.0</v>
      </c>
      <c r="C6" s="151" t="s">
        <v>196</v>
      </c>
      <c r="D6" s="151"/>
      <c r="E6" s="152" t="s">
        <v>122</v>
      </c>
      <c r="F6" s="153"/>
      <c r="G6" s="154"/>
      <c r="H6" s="65"/>
      <c r="I6" s="145"/>
      <c r="J6" s="145"/>
      <c r="K6" s="145"/>
      <c r="L6" s="25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</row>
    <row r="7" ht="21.0" customHeight="1">
      <c r="A7" s="67"/>
      <c r="B7" s="155">
        <v>1.1</v>
      </c>
      <c r="C7" s="156" t="s">
        <v>197</v>
      </c>
      <c r="D7" s="156"/>
      <c r="E7" s="157" t="s">
        <v>122</v>
      </c>
      <c r="F7" s="158"/>
      <c r="G7" s="159" t="s">
        <v>198</v>
      </c>
      <c r="H7" s="65"/>
      <c r="I7" s="145"/>
      <c r="J7" s="145"/>
      <c r="K7" s="145"/>
      <c r="L7" s="25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</row>
    <row r="8" ht="21.0" customHeight="1">
      <c r="A8" s="67"/>
      <c r="B8" s="150">
        <v>1.2</v>
      </c>
      <c r="C8" s="151" t="s">
        <v>199</v>
      </c>
      <c r="D8" s="151"/>
      <c r="E8" s="152" t="s">
        <v>122</v>
      </c>
      <c r="F8" s="153"/>
      <c r="G8" s="154"/>
      <c r="H8" s="65"/>
      <c r="I8" s="145"/>
      <c r="J8" s="145"/>
      <c r="K8" s="145"/>
      <c r="L8" s="25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</row>
    <row r="9" ht="21.0" customHeight="1">
      <c r="A9" s="67"/>
      <c r="B9" s="155">
        <v>1.3</v>
      </c>
      <c r="C9" s="156" t="s">
        <v>200</v>
      </c>
      <c r="D9" s="156"/>
      <c r="E9" s="157" t="s">
        <v>122</v>
      </c>
      <c r="F9" s="158"/>
      <c r="G9" s="159" t="s">
        <v>198</v>
      </c>
      <c r="H9" s="65"/>
      <c r="I9" s="145"/>
      <c r="J9" s="145"/>
      <c r="K9" s="145"/>
      <c r="L9" s="25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</row>
    <row r="10" ht="21.0" customHeight="1">
      <c r="A10" s="67"/>
      <c r="B10" s="150">
        <v>1.4</v>
      </c>
      <c r="C10" s="151" t="s">
        <v>201</v>
      </c>
      <c r="D10" s="160"/>
      <c r="E10" s="152" t="s">
        <v>122</v>
      </c>
      <c r="F10" s="153"/>
      <c r="G10" s="154"/>
      <c r="H10" s="65"/>
      <c r="I10" s="145"/>
      <c r="J10" s="145"/>
      <c r="K10" s="145"/>
      <c r="L10" s="25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</row>
    <row r="11" ht="21.0" customHeight="1">
      <c r="A11" s="67"/>
      <c r="B11" s="155">
        <v>2.0</v>
      </c>
      <c r="C11" s="157" t="s">
        <v>202</v>
      </c>
      <c r="D11" s="161"/>
      <c r="E11" s="157" t="s">
        <v>122</v>
      </c>
      <c r="F11" s="158"/>
      <c r="G11" s="159"/>
      <c r="H11" s="65"/>
      <c r="I11" s="145"/>
      <c r="J11" s="145"/>
      <c r="K11" s="145"/>
      <c r="L11" s="25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</row>
    <row r="12">
      <c r="A12" s="67"/>
      <c r="B12" s="145"/>
      <c r="C12" s="145"/>
      <c r="D12" s="65"/>
      <c r="E12" s="145"/>
      <c r="F12" s="145"/>
      <c r="G12" s="145"/>
      <c r="H12" s="65"/>
      <c r="I12" s="145"/>
      <c r="J12" s="145"/>
      <c r="K12" s="145"/>
      <c r="L12" s="25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</row>
    <row r="13">
      <c r="A13" s="67"/>
      <c r="B13" s="145"/>
      <c r="C13" s="145"/>
      <c r="D13" s="65" t="s">
        <v>203</v>
      </c>
      <c r="E13" s="145"/>
      <c r="F13" s="145"/>
      <c r="G13" s="145"/>
      <c r="H13" s="65"/>
      <c r="I13" s="145"/>
      <c r="J13" s="145"/>
      <c r="K13" s="145"/>
      <c r="L13" s="25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</row>
    <row r="14" ht="22.5" customHeight="1">
      <c r="A14" s="162"/>
      <c r="B14" s="163" t="s">
        <v>204</v>
      </c>
      <c r="C14" s="163" t="s">
        <v>205</v>
      </c>
      <c r="D14" s="164" t="s">
        <v>206</v>
      </c>
      <c r="E14" s="163" t="s">
        <v>207</v>
      </c>
      <c r="F14" s="163" t="s">
        <v>208</v>
      </c>
      <c r="G14" s="164" t="s">
        <v>209</v>
      </c>
      <c r="H14" s="164" t="s">
        <v>210</v>
      </c>
      <c r="I14" s="163" t="s">
        <v>211</v>
      </c>
      <c r="J14" s="163" t="s">
        <v>212</v>
      </c>
      <c r="K14" s="163" t="s">
        <v>213</v>
      </c>
      <c r="L14" s="165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  <c r="AB14" s="166"/>
      <c r="AC14" s="166"/>
      <c r="AD14" s="166"/>
    </row>
    <row r="15" ht="22.5" customHeight="1">
      <c r="A15" s="121"/>
      <c r="B15" s="167">
        <v>1.0</v>
      </c>
      <c r="C15" s="168" t="s">
        <v>214</v>
      </c>
      <c r="D15" s="169" t="s">
        <v>215</v>
      </c>
      <c r="E15" s="170">
        <v>12.0</v>
      </c>
      <c r="F15" s="171" t="s">
        <v>216</v>
      </c>
      <c r="G15" s="172" t="s">
        <v>217</v>
      </c>
      <c r="H15" s="169" t="s">
        <v>218</v>
      </c>
      <c r="I15" s="169" t="s">
        <v>219</v>
      </c>
      <c r="J15" s="173"/>
      <c r="K15" s="173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</row>
    <row r="16" ht="22.5" customHeight="1">
      <c r="A16" s="121"/>
      <c r="B16" s="167">
        <v>2.0</v>
      </c>
      <c r="C16" s="174" t="s">
        <v>220</v>
      </c>
      <c r="D16" s="169" t="s">
        <v>215</v>
      </c>
      <c r="E16" s="175">
        <v>24.0</v>
      </c>
      <c r="F16" s="176" t="s">
        <v>216</v>
      </c>
      <c r="G16" s="172" t="s">
        <v>221</v>
      </c>
      <c r="H16" s="169" t="s">
        <v>218</v>
      </c>
      <c r="I16" s="169" t="s">
        <v>219</v>
      </c>
      <c r="J16" s="173"/>
      <c r="K16" s="173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</row>
    <row r="17" ht="22.5" customHeight="1">
      <c r="A17" s="121"/>
      <c r="B17" s="167">
        <v>3.0</v>
      </c>
      <c r="C17" s="168" t="s">
        <v>222</v>
      </c>
      <c r="D17" s="169" t="s">
        <v>215</v>
      </c>
      <c r="E17" s="170">
        <v>12.0</v>
      </c>
      <c r="F17" s="171" t="s">
        <v>216</v>
      </c>
      <c r="G17" s="172" t="s">
        <v>223</v>
      </c>
      <c r="H17" s="169" t="s">
        <v>218</v>
      </c>
      <c r="I17" s="169" t="s">
        <v>219</v>
      </c>
      <c r="J17" s="173"/>
      <c r="K17" s="173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</row>
    <row r="18" ht="22.5" customHeight="1">
      <c r="A18" s="121"/>
      <c r="B18" s="167">
        <v>4.0</v>
      </c>
      <c r="C18" s="174" t="s">
        <v>224</v>
      </c>
      <c r="D18" s="169" t="s">
        <v>215</v>
      </c>
      <c r="E18" s="175">
        <v>12.0</v>
      </c>
      <c r="F18" s="176" t="s">
        <v>216</v>
      </c>
      <c r="G18" s="177" t="s">
        <v>225</v>
      </c>
      <c r="H18" s="169" t="s">
        <v>218</v>
      </c>
      <c r="I18" s="169" t="s">
        <v>219</v>
      </c>
      <c r="J18" s="173"/>
      <c r="K18" s="173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</row>
    <row r="19" ht="22.5" customHeight="1">
      <c r="A19" s="121"/>
      <c r="B19" s="167">
        <v>5.0</v>
      </c>
      <c r="C19" s="178" t="s">
        <v>226</v>
      </c>
      <c r="D19" s="169" t="s">
        <v>215</v>
      </c>
      <c r="E19" s="170">
        <v>24.0</v>
      </c>
      <c r="F19" s="171" t="s">
        <v>216</v>
      </c>
      <c r="G19" s="172" t="s">
        <v>227</v>
      </c>
      <c r="H19" s="169" t="s">
        <v>218</v>
      </c>
      <c r="I19" s="169" t="s">
        <v>219</v>
      </c>
      <c r="J19" s="173"/>
      <c r="K19" s="173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</row>
    <row r="20" ht="22.5" customHeight="1">
      <c r="A20" s="121"/>
      <c r="B20" s="167">
        <v>6.0</v>
      </c>
      <c r="C20" s="179" t="s">
        <v>228</v>
      </c>
      <c r="D20" s="169" t="s">
        <v>215</v>
      </c>
      <c r="E20" s="175">
        <v>12.0</v>
      </c>
      <c r="F20" s="176" t="s">
        <v>216</v>
      </c>
      <c r="G20" s="177" t="s">
        <v>229</v>
      </c>
      <c r="H20" s="169" t="s">
        <v>218</v>
      </c>
      <c r="I20" s="169" t="s">
        <v>219</v>
      </c>
      <c r="J20" s="173"/>
      <c r="K20" s="173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</row>
    <row r="21" ht="22.5" customHeight="1">
      <c r="A21" s="121"/>
      <c r="B21" s="167">
        <v>7.0</v>
      </c>
      <c r="C21" s="178" t="s">
        <v>230</v>
      </c>
      <c r="D21" s="169" t="s">
        <v>215</v>
      </c>
      <c r="E21" s="170">
        <v>12.0</v>
      </c>
      <c r="F21" s="171" t="s">
        <v>216</v>
      </c>
      <c r="G21" s="172" t="s">
        <v>231</v>
      </c>
      <c r="H21" s="169" t="s">
        <v>218</v>
      </c>
      <c r="I21" s="169" t="s">
        <v>219</v>
      </c>
      <c r="J21" s="173"/>
      <c r="K21" s="173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</row>
    <row r="22" ht="22.5" customHeight="1">
      <c r="A22" s="121"/>
      <c r="B22" s="167">
        <v>8.0</v>
      </c>
      <c r="C22" s="180" t="s">
        <v>232</v>
      </c>
      <c r="D22" s="169" t="s">
        <v>215</v>
      </c>
      <c r="E22" s="175">
        <v>1.0</v>
      </c>
      <c r="F22" s="176" t="s">
        <v>233</v>
      </c>
      <c r="G22" s="181" t="s">
        <v>234</v>
      </c>
      <c r="H22" s="169" t="s">
        <v>218</v>
      </c>
      <c r="I22" s="169" t="s">
        <v>219</v>
      </c>
      <c r="J22" s="173"/>
      <c r="K22" s="173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</row>
    <row r="23" ht="22.5" customHeight="1">
      <c r="A23" s="121"/>
      <c r="B23" s="167">
        <v>9.0</v>
      </c>
      <c r="C23" s="182" t="s">
        <v>235</v>
      </c>
      <c r="D23" s="169" t="s">
        <v>215</v>
      </c>
      <c r="E23" s="170">
        <v>1.0</v>
      </c>
      <c r="F23" s="171" t="s">
        <v>233</v>
      </c>
      <c r="G23" s="181" t="s">
        <v>236</v>
      </c>
      <c r="H23" s="169" t="s">
        <v>218</v>
      </c>
      <c r="I23" s="169" t="s">
        <v>219</v>
      </c>
      <c r="J23" s="173"/>
      <c r="K23" s="173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</row>
    <row r="24" ht="22.5" customHeight="1">
      <c r="A24" s="121"/>
      <c r="B24" s="167">
        <v>10.0</v>
      </c>
      <c r="C24" s="179" t="s">
        <v>237</v>
      </c>
      <c r="D24" s="169" t="s">
        <v>215</v>
      </c>
      <c r="E24" s="175">
        <v>1.0</v>
      </c>
      <c r="F24" s="176" t="s">
        <v>233</v>
      </c>
      <c r="G24" s="181" t="s">
        <v>238</v>
      </c>
      <c r="H24" s="169" t="s">
        <v>218</v>
      </c>
      <c r="I24" s="169" t="s">
        <v>219</v>
      </c>
      <c r="J24" s="173"/>
      <c r="K24" s="173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</row>
    <row r="25" ht="22.5" customHeight="1">
      <c r="A25" s="121"/>
      <c r="B25" s="167">
        <v>11.0</v>
      </c>
      <c r="C25" s="178" t="s">
        <v>239</v>
      </c>
      <c r="D25" s="169" t="s">
        <v>215</v>
      </c>
      <c r="E25" s="170">
        <v>1.0</v>
      </c>
      <c r="F25" s="171" t="s">
        <v>233</v>
      </c>
      <c r="G25" s="181" t="s">
        <v>240</v>
      </c>
      <c r="H25" s="169" t="s">
        <v>218</v>
      </c>
      <c r="I25" s="169" t="s">
        <v>219</v>
      </c>
      <c r="J25" s="173"/>
      <c r="K25" s="173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</row>
    <row r="26" ht="22.5" customHeight="1">
      <c r="A26" s="121"/>
      <c r="B26" s="167">
        <v>12.0</v>
      </c>
      <c r="C26" s="179" t="s">
        <v>241</v>
      </c>
      <c r="D26" s="169" t="s">
        <v>215</v>
      </c>
      <c r="E26" s="175">
        <v>1.0</v>
      </c>
      <c r="F26" s="176" t="s">
        <v>233</v>
      </c>
      <c r="G26" s="181" t="s">
        <v>242</v>
      </c>
      <c r="H26" s="169" t="s">
        <v>218</v>
      </c>
      <c r="I26" s="169" t="s">
        <v>219</v>
      </c>
      <c r="J26" s="173"/>
      <c r="K26" s="173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</row>
    <row r="27" ht="22.5" customHeight="1">
      <c r="A27" s="121"/>
      <c r="B27" s="167">
        <v>13.0</v>
      </c>
      <c r="C27" s="178" t="s">
        <v>243</v>
      </c>
      <c r="D27" s="169" t="s">
        <v>215</v>
      </c>
      <c r="E27" s="170">
        <v>1.0</v>
      </c>
      <c r="F27" s="171" t="s">
        <v>233</v>
      </c>
      <c r="G27" s="181" t="s">
        <v>244</v>
      </c>
      <c r="H27" s="169" t="s">
        <v>218</v>
      </c>
      <c r="I27" s="169" t="s">
        <v>219</v>
      </c>
      <c r="J27" s="173"/>
      <c r="K27" s="173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</row>
    <row r="28" ht="22.5" customHeight="1">
      <c r="A28" s="121"/>
      <c r="B28" s="167">
        <v>14.0</v>
      </c>
      <c r="C28" s="179" t="s">
        <v>245</v>
      </c>
      <c r="D28" s="169" t="s">
        <v>215</v>
      </c>
      <c r="E28" s="175">
        <v>1.0</v>
      </c>
      <c r="F28" s="176" t="s">
        <v>233</v>
      </c>
      <c r="G28" s="181" t="s">
        <v>238</v>
      </c>
      <c r="H28" s="169" t="s">
        <v>218</v>
      </c>
      <c r="I28" s="169" t="s">
        <v>219</v>
      </c>
      <c r="J28" s="173"/>
      <c r="K28" s="173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</row>
    <row r="29" ht="22.5" customHeight="1">
      <c r="A29" s="121"/>
      <c r="B29" s="167">
        <v>15.0</v>
      </c>
      <c r="C29" s="178" t="s">
        <v>246</v>
      </c>
      <c r="D29" s="169" t="s">
        <v>215</v>
      </c>
      <c r="E29" s="170">
        <v>1.0</v>
      </c>
      <c r="F29" s="171" t="s">
        <v>233</v>
      </c>
      <c r="G29" s="181" t="s">
        <v>247</v>
      </c>
      <c r="H29" s="169" t="s">
        <v>218</v>
      </c>
      <c r="I29" s="169" t="s">
        <v>219</v>
      </c>
      <c r="J29" s="173"/>
      <c r="K29" s="173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</row>
    <row r="30" ht="22.5" customHeight="1">
      <c r="A30" s="121"/>
      <c r="B30" s="167">
        <v>16.0</v>
      </c>
      <c r="C30" s="179" t="s">
        <v>248</v>
      </c>
      <c r="D30" s="169" t="s">
        <v>215</v>
      </c>
      <c r="E30" s="175">
        <v>1.0</v>
      </c>
      <c r="F30" s="176" t="s">
        <v>233</v>
      </c>
      <c r="G30" s="181" t="s">
        <v>249</v>
      </c>
      <c r="H30" s="169" t="s">
        <v>218</v>
      </c>
      <c r="I30" s="169" t="s">
        <v>219</v>
      </c>
      <c r="J30" s="173"/>
      <c r="K30" s="173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</row>
    <row r="31" ht="22.5" customHeight="1">
      <c r="A31" s="121"/>
      <c r="B31" s="167">
        <v>17.0</v>
      </c>
      <c r="C31" s="178" t="s">
        <v>250</v>
      </c>
      <c r="D31" s="169" t="s">
        <v>215</v>
      </c>
      <c r="E31" s="170">
        <v>1.0</v>
      </c>
      <c r="F31" s="171" t="s">
        <v>233</v>
      </c>
      <c r="G31" s="181" t="s">
        <v>249</v>
      </c>
      <c r="H31" s="169" t="s">
        <v>218</v>
      </c>
      <c r="I31" s="169" t="s">
        <v>219</v>
      </c>
      <c r="J31" s="173"/>
      <c r="K31" s="173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</row>
    <row r="32" ht="22.5" customHeight="1">
      <c r="A32" s="121"/>
      <c r="B32" s="167">
        <v>18.0</v>
      </c>
      <c r="C32" s="179" t="s">
        <v>251</v>
      </c>
      <c r="D32" s="169" t="s">
        <v>215</v>
      </c>
      <c r="E32" s="175">
        <v>1.0</v>
      </c>
      <c r="F32" s="176" t="s">
        <v>233</v>
      </c>
      <c r="G32" s="181" t="s">
        <v>252</v>
      </c>
      <c r="H32" s="169" t="s">
        <v>253</v>
      </c>
      <c r="I32" s="169" t="s">
        <v>219</v>
      </c>
      <c r="J32" s="173"/>
      <c r="K32" s="173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</row>
    <row r="33" ht="22.5" customHeight="1">
      <c r="A33" s="121"/>
      <c r="B33" s="167">
        <v>19.0</v>
      </c>
      <c r="C33" s="178" t="s">
        <v>254</v>
      </c>
      <c r="D33" s="169" t="s">
        <v>215</v>
      </c>
      <c r="E33" s="170">
        <v>1.0</v>
      </c>
      <c r="F33" s="171" t="s">
        <v>233</v>
      </c>
      <c r="G33" s="181" t="s">
        <v>249</v>
      </c>
      <c r="H33" s="169" t="s">
        <v>218</v>
      </c>
      <c r="I33" s="169" t="s">
        <v>219</v>
      </c>
      <c r="J33" s="173"/>
      <c r="K33" s="173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</row>
    <row r="34" ht="22.5" customHeight="1">
      <c r="A34" s="121"/>
      <c r="B34" s="167">
        <v>20.0</v>
      </c>
      <c r="C34" s="179" t="s">
        <v>255</v>
      </c>
      <c r="D34" s="169" t="s">
        <v>215</v>
      </c>
      <c r="E34" s="175">
        <v>1.0</v>
      </c>
      <c r="F34" s="176" t="s">
        <v>233</v>
      </c>
      <c r="G34" s="172" t="s">
        <v>256</v>
      </c>
      <c r="H34" s="169" t="s">
        <v>218</v>
      </c>
      <c r="I34" s="169" t="s">
        <v>219</v>
      </c>
      <c r="J34" s="173"/>
      <c r="K34" s="173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</row>
    <row r="35" ht="22.5" customHeight="1">
      <c r="A35" s="121"/>
      <c r="B35" s="167">
        <v>21.0</v>
      </c>
      <c r="C35" s="178" t="s">
        <v>257</v>
      </c>
      <c r="D35" s="169" t="s">
        <v>215</v>
      </c>
      <c r="E35" s="170">
        <v>1.0</v>
      </c>
      <c r="F35" s="171" t="s">
        <v>233</v>
      </c>
      <c r="G35" s="172" t="s">
        <v>258</v>
      </c>
      <c r="H35" s="169" t="s">
        <v>218</v>
      </c>
      <c r="I35" s="169" t="s">
        <v>219</v>
      </c>
      <c r="J35" s="173"/>
      <c r="K35" s="173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</row>
    <row r="36" ht="22.5" customHeight="1">
      <c r="A36" s="121"/>
      <c r="B36" s="167">
        <v>22.0</v>
      </c>
      <c r="C36" s="179" t="s">
        <v>259</v>
      </c>
      <c r="D36" s="169" t="s">
        <v>215</v>
      </c>
      <c r="E36" s="175">
        <v>1.0</v>
      </c>
      <c r="F36" s="176" t="s">
        <v>233</v>
      </c>
      <c r="G36" s="172" t="s">
        <v>258</v>
      </c>
      <c r="H36" s="169" t="s">
        <v>218</v>
      </c>
      <c r="I36" s="169" t="s">
        <v>219</v>
      </c>
      <c r="J36" s="173"/>
      <c r="K36" s="173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</row>
    <row r="37" ht="22.5" customHeight="1">
      <c r="A37" s="121"/>
      <c r="B37" s="167">
        <v>23.0</v>
      </c>
      <c r="C37" s="178" t="s">
        <v>260</v>
      </c>
      <c r="D37" s="169" t="s">
        <v>215</v>
      </c>
      <c r="E37" s="170">
        <v>1.0</v>
      </c>
      <c r="F37" s="171" t="s">
        <v>233</v>
      </c>
      <c r="G37" s="172" t="s">
        <v>261</v>
      </c>
      <c r="H37" s="169" t="s">
        <v>218</v>
      </c>
      <c r="I37" s="169" t="s">
        <v>219</v>
      </c>
      <c r="J37" s="173"/>
      <c r="K37" s="173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</row>
    <row r="38" ht="22.5" customHeight="1">
      <c r="A38" s="121"/>
      <c r="B38" s="167">
        <v>24.0</v>
      </c>
      <c r="C38" s="179" t="s">
        <v>262</v>
      </c>
      <c r="D38" s="169" t="s">
        <v>215</v>
      </c>
      <c r="E38" s="175">
        <v>1.0</v>
      </c>
      <c r="F38" s="176" t="s">
        <v>233</v>
      </c>
      <c r="G38" s="172" t="s">
        <v>249</v>
      </c>
      <c r="H38" s="169" t="s">
        <v>218</v>
      </c>
      <c r="I38" s="169" t="s">
        <v>219</v>
      </c>
      <c r="J38" s="173"/>
      <c r="K38" s="173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</row>
    <row r="39" ht="22.5" customHeight="1">
      <c r="A39" s="121"/>
      <c r="B39" s="167">
        <v>25.0</v>
      </c>
      <c r="C39" s="178" t="s">
        <v>263</v>
      </c>
      <c r="D39" s="169" t="s">
        <v>215</v>
      </c>
      <c r="E39" s="170">
        <v>2.0</v>
      </c>
      <c r="F39" s="171" t="s">
        <v>216</v>
      </c>
      <c r="G39" s="172" t="s">
        <v>264</v>
      </c>
      <c r="H39" s="169" t="s">
        <v>218</v>
      </c>
      <c r="I39" s="169" t="s">
        <v>219</v>
      </c>
      <c r="J39" s="173"/>
      <c r="K39" s="173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</row>
    <row r="40" ht="22.5" customHeight="1">
      <c r="A40" s="121"/>
      <c r="B40" s="167">
        <v>26.0</v>
      </c>
      <c r="C40" s="179" t="s">
        <v>265</v>
      </c>
      <c r="D40" s="169" t="s">
        <v>215</v>
      </c>
      <c r="E40" s="175">
        <v>1.0</v>
      </c>
      <c r="F40" s="176" t="s">
        <v>233</v>
      </c>
      <c r="G40" s="172" t="s">
        <v>266</v>
      </c>
      <c r="H40" s="169" t="s">
        <v>218</v>
      </c>
      <c r="I40" s="169" t="s">
        <v>219</v>
      </c>
      <c r="J40" s="173"/>
      <c r="K40" s="173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</row>
    <row r="41" ht="22.5" customHeight="1">
      <c r="A41" s="121"/>
      <c r="B41" s="167">
        <v>27.0</v>
      </c>
      <c r="C41" s="178" t="s">
        <v>267</v>
      </c>
      <c r="D41" s="169" t="s">
        <v>215</v>
      </c>
      <c r="E41" s="170">
        <v>1.0</v>
      </c>
      <c r="F41" s="171" t="s">
        <v>233</v>
      </c>
      <c r="G41" s="172" t="s">
        <v>268</v>
      </c>
      <c r="H41" s="169" t="s">
        <v>218</v>
      </c>
      <c r="I41" s="169" t="s">
        <v>219</v>
      </c>
      <c r="J41" s="173"/>
      <c r="K41" s="173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</row>
    <row r="42" ht="22.5" customHeight="1">
      <c r="A42" s="121"/>
      <c r="B42" s="167">
        <v>28.0</v>
      </c>
      <c r="C42" s="179" t="s">
        <v>269</v>
      </c>
      <c r="D42" s="169" t="s">
        <v>215</v>
      </c>
      <c r="E42" s="175">
        <v>2.0</v>
      </c>
      <c r="F42" s="183" t="s">
        <v>216</v>
      </c>
      <c r="G42" s="172" t="s">
        <v>217</v>
      </c>
      <c r="H42" s="169" t="s">
        <v>218</v>
      </c>
      <c r="I42" s="169" t="s">
        <v>219</v>
      </c>
      <c r="J42" s="173"/>
      <c r="K42" s="173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</row>
    <row r="43" ht="22.5" customHeight="1">
      <c r="A43" s="121"/>
      <c r="B43" s="167">
        <v>29.0</v>
      </c>
      <c r="C43" s="184" t="s">
        <v>270</v>
      </c>
      <c r="D43" s="169" t="s">
        <v>215</v>
      </c>
      <c r="E43" s="175">
        <v>2.0</v>
      </c>
      <c r="F43" s="183" t="s">
        <v>216</v>
      </c>
      <c r="G43" s="172" t="s">
        <v>221</v>
      </c>
      <c r="H43" s="169" t="s">
        <v>218</v>
      </c>
      <c r="I43" s="169" t="s">
        <v>219</v>
      </c>
      <c r="J43" s="173"/>
      <c r="K43" s="173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</row>
    <row r="44" ht="22.5" customHeight="1">
      <c r="A44" s="121"/>
      <c r="B44" s="167">
        <v>30.0</v>
      </c>
      <c r="C44" s="179" t="s">
        <v>222</v>
      </c>
      <c r="D44" s="169" t="s">
        <v>215</v>
      </c>
      <c r="E44" s="175">
        <v>2.0</v>
      </c>
      <c r="F44" s="183" t="s">
        <v>216</v>
      </c>
      <c r="G44" s="185" t="s">
        <v>223</v>
      </c>
      <c r="H44" s="169" t="s">
        <v>218</v>
      </c>
      <c r="I44" s="169" t="s">
        <v>219</v>
      </c>
      <c r="J44" s="173"/>
      <c r="K44" s="173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</row>
    <row r="45" ht="22.5" customHeight="1">
      <c r="A45" s="121"/>
      <c r="B45" s="167">
        <v>31.0</v>
      </c>
      <c r="C45" s="178" t="s">
        <v>224</v>
      </c>
      <c r="D45" s="169" t="s">
        <v>215</v>
      </c>
      <c r="E45" s="175">
        <v>2.0</v>
      </c>
      <c r="F45" s="183" t="s">
        <v>216</v>
      </c>
      <c r="G45" s="186" t="s">
        <v>271</v>
      </c>
      <c r="H45" s="169" t="s">
        <v>218</v>
      </c>
      <c r="I45" s="169" t="s">
        <v>219</v>
      </c>
      <c r="J45" s="173"/>
      <c r="K45" s="173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</row>
    <row r="46" ht="22.5" customHeight="1">
      <c r="A46" s="121"/>
      <c r="B46" s="167">
        <v>32.0</v>
      </c>
      <c r="C46" s="179" t="s">
        <v>272</v>
      </c>
      <c r="D46" s="169" t="s">
        <v>215</v>
      </c>
      <c r="E46" s="175">
        <v>2.0</v>
      </c>
      <c r="F46" s="183" t="s">
        <v>216</v>
      </c>
      <c r="G46" s="185" t="s">
        <v>227</v>
      </c>
      <c r="H46" s="169" t="s">
        <v>218</v>
      </c>
      <c r="I46" s="169" t="s">
        <v>219</v>
      </c>
      <c r="J46" s="173"/>
      <c r="K46" s="173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</row>
    <row r="47" ht="22.5" customHeight="1">
      <c r="A47" s="121"/>
      <c r="B47" s="167">
        <v>33.0</v>
      </c>
      <c r="C47" s="178" t="s">
        <v>273</v>
      </c>
      <c r="D47" s="169" t="s">
        <v>215</v>
      </c>
      <c r="E47" s="175">
        <v>2.0</v>
      </c>
      <c r="F47" s="183" t="s">
        <v>216</v>
      </c>
      <c r="G47" s="186" t="s">
        <v>274</v>
      </c>
      <c r="H47" s="169" t="s">
        <v>218</v>
      </c>
      <c r="I47" s="169" t="s">
        <v>219</v>
      </c>
      <c r="J47" s="173"/>
      <c r="K47" s="173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</row>
    <row r="48" ht="22.5" customHeight="1">
      <c r="A48" s="121"/>
      <c r="B48" s="167">
        <v>34.0</v>
      </c>
      <c r="C48" s="187" t="s">
        <v>275</v>
      </c>
      <c r="D48" s="169" t="s">
        <v>215</v>
      </c>
      <c r="E48" s="188">
        <v>1.0</v>
      </c>
      <c r="F48" s="183" t="s">
        <v>233</v>
      </c>
      <c r="G48" s="189" t="s">
        <v>276</v>
      </c>
      <c r="H48" s="169" t="s">
        <v>253</v>
      </c>
      <c r="I48" s="169" t="s">
        <v>219</v>
      </c>
      <c r="J48" s="173"/>
      <c r="K48" s="173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</row>
    <row r="49" ht="22.5" customHeight="1">
      <c r="A49" s="121"/>
      <c r="B49" s="167">
        <v>35.0</v>
      </c>
      <c r="C49" s="184" t="s">
        <v>277</v>
      </c>
      <c r="D49" s="169" t="s">
        <v>215</v>
      </c>
      <c r="E49" s="188">
        <v>1.0</v>
      </c>
      <c r="F49" s="183" t="s">
        <v>233</v>
      </c>
      <c r="G49" s="190" t="s">
        <v>278</v>
      </c>
      <c r="H49" s="169" t="s">
        <v>253</v>
      </c>
      <c r="I49" s="169" t="s">
        <v>219</v>
      </c>
      <c r="J49" s="173"/>
      <c r="K49" s="173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</row>
    <row r="50" ht="22.5" customHeight="1">
      <c r="A50" s="121"/>
      <c r="B50" s="167">
        <v>36.0</v>
      </c>
      <c r="C50" s="187" t="s">
        <v>279</v>
      </c>
      <c r="D50" s="169" t="s">
        <v>215</v>
      </c>
      <c r="E50" s="188">
        <v>1.0</v>
      </c>
      <c r="F50" s="183" t="s">
        <v>280</v>
      </c>
      <c r="G50" s="189" t="s">
        <v>281</v>
      </c>
      <c r="H50" s="169" t="s">
        <v>253</v>
      </c>
      <c r="I50" s="169" t="s">
        <v>219</v>
      </c>
      <c r="J50" s="173"/>
      <c r="K50" s="173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</row>
    <row r="51" ht="22.5" customHeight="1">
      <c r="A51" s="121"/>
      <c r="B51" s="167">
        <v>37.0</v>
      </c>
      <c r="C51" s="184" t="s">
        <v>282</v>
      </c>
      <c r="D51" s="169" t="s">
        <v>215</v>
      </c>
      <c r="E51" s="191">
        <v>30.0</v>
      </c>
      <c r="F51" s="183" t="s">
        <v>283</v>
      </c>
      <c r="G51" s="190" t="s">
        <v>282</v>
      </c>
      <c r="H51" s="169" t="s">
        <v>253</v>
      </c>
      <c r="I51" s="169" t="s">
        <v>219</v>
      </c>
      <c r="J51" s="173"/>
      <c r="K51" s="173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</row>
    <row r="52" ht="22.5" customHeight="1">
      <c r="A52" s="121"/>
      <c r="B52" s="167">
        <v>38.0</v>
      </c>
      <c r="C52" s="187" t="s">
        <v>284</v>
      </c>
      <c r="D52" s="169" t="s">
        <v>215</v>
      </c>
      <c r="E52" s="188">
        <v>30.0</v>
      </c>
      <c r="F52" s="183" t="s">
        <v>283</v>
      </c>
      <c r="G52" s="189" t="s">
        <v>285</v>
      </c>
      <c r="H52" s="169" t="s">
        <v>253</v>
      </c>
      <c r="I52" s="169" t="s">
        <v>219</v>
      </c>
      <c r="J52" s="173"/>
      <c r="K52" s="173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</row>
    <row r="53" ht="22.5" customHeight="1">
      <c r="A53" s="121"/>
      <c r="B53" s="167">
        <v>39.0</v>
      </c>
      <c r="C53" s="184" t="s">
        <v>286</v>
      </c>
      <c r="D53" s="169" t="s">
        <v>215</v>
      </c>
      <c r="E53" s="191">
        <v>2.0</v>
      </c>
      <c r="F53" s="183" t="s">
        <v>283</v>
      </c>
      <c r="G53" s="190" t="s">
        <v>287</v>
      </c>
      <c r="H53" s="169" t="s">
        <v>253</v>
      </c>
      <c r="I53" s="169" t="s">
        <v>219</v>
      </c>
      <c r="J53" s="173"/>
      <c r="K53" s="173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</row>
    <row r="54" ht="22.5" customHeight="1">
      <c r="A54" s="121"/>
      <c r="B54" s="167">
        <v>40.0</v>
      </c>
      <c r="C54" s="187" t="s">
        <v>288</v>
      </c>
      <c r="D54" s="169" t="s">
        <v>215</v>
      </c>
      <c r="E54" s="188">
        <v>3.0</v>
      </c>
      <c r="F54" s="183" t="s">
        <v>283</v>
      </c>
      <c r="G54" s="189" t="s">
        <v>289</v>
      </c>
      <c r="H54" s="169" t="s">
        <v>253</v>
      </c>
      <c r="I54" s="169" t="s">
        <v>219</v>
      </c>
      <c r="J54" s="173"/>
      <c r="K54" s="173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</row>
    <row r="55" ht="22.5" customHeight="1">
      <c r="A55" s="121"/>
      <c r="B55" s="167">
        <v>41.0</v>
      </c>
      <c r="C55" s="184" t="s">
        <v>290</v>
      </c>
      <c r="D55" s="169" t="s">
        <v>215</v>
      </c>
      <c r="E55" s="191">
        <v>30.0</v>
      </c>
      <c r="F55" s="183" t="s">
        <v>283</v>
      </c>
      <c r="G55" s="190" t="s">
        <v>291</v>
      </c>
      <c r="H55" s="169" t="s">
        <v>253</v>
      </c>
      <c r="I55" s="169" t="s">
        <v>219</v>
      </c>
      <c r="J55" s="173"/>
      <c r="K55" s="173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</row>
    <row r="56" ht="22.5" customHeight="1">
      <c r="A56" s="121"/>
      <c r="B56" s="135">
        <v>42.0</v>
      </c>
      <c r="C56" s="192" t="s">
        <v>292</v>
      </c>
      <c r="D56" s="137" t="s">
        <v>215</v>
      </c>
      <c r="E56" s="193">
        <v>1.0</v>
      </c>
      <c r="F56" s="136" t="s">
        <v>233</v>
      </c>
      <c r="G56" s="194" t="s">
        <v>293</v>
      </c>
      <c r="H56" s="137" t="s">
        <v>253</v>
      </c>
      <c r="I56" s="169" t="s">
        <v>219</v>
      </c>
      <c r="J56" s="195"/>
      <c r="K56" s="195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</row>
    <row r="57" ht="22.5" customHeight="1">
      <c r="A57" s="121"/>
      <c r="B57" s="135">
        <v>43.0</v>
      </c>
      <c r="C57" s="192" t="s">
        <v>294</v>
      </c>
      <c r="D57" s="137" t="s">
        <v>295</v>
      </c>
      <c r="E57" s="193">
        <v>1.0</v>
      </c>
      <c r="F57" s="136" t="s">
        <v>296</v>
      </c>
      <c r="G57" s="194" t="s">
        <v>297</v>
      </c>
      <c r="H57" s="137" t="s">
        <v>298</v>
      </c>
      <c r="I57" s="169" t="s">
        <v>219</v>
      </c>
      <c r="J57" s="195"/>
      <c r="K57" s="195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</row>
    <row r="58">
      <c r="A58" s="121"/>
      <c r="B58" s="121"/>
      <c r="C58" s="121"/>
      <c r="D58" s="121"/>
      <c r="E58" s="142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</row>
    <row r="59">
      <c r="A59" s="121"/>
      <c r="B59" s="121"/>
      <c r="C59" s="121"/>
      <c r="D59" s="121"/>
      <c r="E59" s="142"/>
      <c r="F59" s="121"/>
      <c r="G59" s="121"/>
      <c r="H59" s="121"/>
      <c r="I59" s="121"/>
      <c r="J59" s="144" t="s">
        <v>7</v>
      </c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</row>
    <row r="60">
      <c r="A60" s="121"/>
      <c r="B60" s="121"/>
      <c r="C60" s="121"/>
      <c r="D60" s="121"/>
      <c r="E60" s="142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</row>
    <row r="61">
      <c r="A61" s="121"/>
      <c r="B61" s="121"/>
      <c r="C61" s="121"/>
      <c r="D61" s="121"/>
      <c r="E61" s="142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</row>
    <row r="62">
      <c r="A62" s="121"/>
      <c r="B62" s="121"/>
      <c r="C62" s="121"/>
      <c r="D62" s="121"/>
      <c r="E62" s="142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</row>
    <row r="63">
      <c r="A63" s="121"/>
      <c r="B63" s="121"/>
      <c r="C63" s="121"/>
      <c r="D63" s="121"/>
      <c r="E63" s="142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</row>
    <row r="64">
      <c r="A64" s="121"/>
      <c r="B64" s="121"/>
      <c r="C64" s="121"/>
      <c r="D64" s="121"/>
      <c r="E64" s="142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</row>
    <row r="65">
      <c r="A65" s="121"/>
      <c r="B65" s="121"/>
      <c r="C65" s="121"/>
      <c r="D65" s="121"/>
      <c r="E65" s="142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</row>
    <row r="66">
      <c r="A66" s="121"/>
      <c r="B66" s="121"/>
      <c r="C66" s="121"/>
      <c r="D66" s="121"/>
      <c r="E66" s="142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</row>
    <row r="67">
      <c r="A67" s="121"/>
      <c r="B67" s="121"/>
      <c r="C67" s="121"/>
      <c r="D67" s="121"/>
      <c r="E67" s="142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</row>
    <row r="68">
      <c r="A68" s="121"/>
      <c r="B68" s="121"/>
      <c r="C68" s="121"/>
      <c r="D68" s="121"/>
      <c r="E68" s="142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</row>
    <row r="69">
      <c r="A69" s="121"/>
      <c r="B69" s="121"/>
      <c r="C69" s="121"/>
      <c r="D69" s="121"/>
      <c r="E69" s="142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</row>
    <row r="70">
      <c r="A70" s="121"/>
      <c r="B70" s="121"/>
      <c r="C70" s="121"/>
      <c r="D70" s="121"/>
      <c r="E70" s="142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</row>
    <row r="71">
      <c r="A71" s="121"/>
      <c r="B71" s="121"/>
      <c r="C71" s="121"/>
      <c r="D71" s="121"/>
      <c r="E71" s="142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</row>
    <row r="72">
      <c r="A72" s="121"/>
      <c r="B72" s="121"/>
      <c r="C72" s="121"/>
      <c r="D72" s="121"/>
      <c r="E72" s="142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</row>
    <row r="73">
      <c r="A73" s="121"/>
      <c r="B73" s="121"/>
      <c r="C73" s="121"/>
      <c r="D73" s="121"/>
      <c r="E73" s="142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  <c r="AD73" s="121"/>
    </row>
    <row r="74">
      <c r="A74" s="121"/>
      <c r="B74" s="121"/>
      <c r="C74" s="121"/>
      <c r="D74" s="121"/>
      <c r="E74" s="142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</row>
    <row r="75">
      <c r="A75" s="121"/>
      <c r="B75" s="121"/>
      <c r="C75" s="121"/>
      <c r="D75" s="121"/>
      <c r="E75" s="142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</row>
    <row r="76">
      <c r="A76" s="121"/>
      <c r="B76" s="121"/>
      <c r="C76" s="121"/>
      <c r="D76" s="121"/>
      <c r="E76" s="142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</row>
    <row r="77">
      <c r="A77" s="121"/>
      <c r="B77" s="121"/>
      <c r="C77" s="121"/>
      <c r="D77" s="121"/>
      <c r="E77" s="142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</row>
    <row r="78">
      <c r="A78" s="121"/>
      <c r="B78" s="121"/>
      <c r="C78" s="121"/>
      <c r="D78" s="121"/>
      <c r="E78" s="142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</row>
    <row r="79">
      <c r="A79" s="121"/>
      <c r="B79" s="121"/>
      <c r="C79" s="121"/>
      <c r="D79" s="121"/>
      <c r="E79" s="142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</row>
    <row r="80">
      <c r="A80" s="121"/>
      <c r="B80" s="121"/>
      <c r="C80" s="121"/>
      <c r="D80" s="121"/>
      <c r="E80" s="142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</row>
    <row r="81">
      <c r="A81" s="121"/>
      <c r="B81" s="121"/>
      <c r="C81" s="121"/>
      <c r="D81" s="121"/>
      <c r="E81" s="142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</row>
    <row r="82">
      <c r="A82" s="121"/>
      <c r="B82" s="121"/>
      <c r="C82" s="121"/>
      <c r="D82" s="121"/>
      <c r="E82" s="142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</row>
    <row r="83">
      <c r="A83" s="121"/>
      <c r="B83" s="121"/>
      <c r="C83" s="121"/>
      <c r="D83" s="121"/>
      <c r="E83" s="142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</row>
    <row r="84">
      <c r="A84" s="121"/>
      <c r="B84" s="121"/>
      <c r="C84" s="121"/>
      <c r="D84" s="121"/>
      <c r="E84" s="142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</row>
    <row r="85">
      <c r="A85" s="121"/>
      <c r="B85" s="121"/>
      <c r="C85" s="121"/>
      <c r="D85" s="121"/>
      <c r="E85" s="142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</row>
    <row r="86">
      <c r="A86" s="121"/>
      <c r="B86" s="121"/>
      <c r="C86" s="121"/>
      <c r="D86" s="121"/>
      <c r="E86" s="142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</row>
    <row r="87">
      <c r="A87" s="121"/>
      <c r="B87" s="121"/>
      <c r="C87" s="121"/>
      <c r="D87" s="121"/>
      <c r="E87" s="142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</row>
    <row r="88">
      <c r="A88" s="121"/>
      <c r="B88" s="121"/>
      <c r="C88" s="121"/>
      <c r="D88" s="121"/>
      <c r="E88" s="142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</row>
    <row r="89">
      <c r="A89" s="121"/>
      <c r="B89" s="121"/>
      <c r="C89" s="121"/>
      <c r="D89" s="121"/>
      <c r="E89" s="142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</row>
    <row r="90">
      <c r="A90" s="121"/>
      <c r="B90" s="121"/>
      <c r="C90" s="121"/>
      <c r="D90" s="121"/>
      <c r="E90" s="142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</row>
    <row r="91">
      <c r="A91" s="121"/>
      <c r="B91" s="121"/>
      <c r="C91" s="121"/>
      <c r="D91" s="121"/>
      <c r="E91" s="142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</row>
    <row r="92">
      <c r="A92" s="121"/>
      <c r="B92" s="121"/>
      <c r="C92" s="121"/>
      <c r="D92" s="121"/>
      <c r="E92" s="142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</row>
    <row r="93">
      <c r="A93" s="121"/>
      <c r="B93" s="121"/>
      <c r="C93" s="121"/>
      <c r="D93" s="121"/>
      <c r="E93" s="142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</row>
    <row r="94">
      <c r="A94" s="121"/>
      <c r="B94" s="121"/>
      <c r="C94" s="121"/>
      <c r="D94" s="121"/>
      <c r="E94" s="142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</row>
    <row r="95">
      <c r="A95" s="121"/>
      <c r="B95" s="121"/>
      <c r="C95" s="121"/>
      <c r="D95" s="121"/>
      <c r="E95" s="142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</row>
    <row r="96">
      <c r="A96" s="121"/>
      <c r="B96" s="121"/>
      <c r="C96" s="121"/>
      <c r="D96" s="121"/>
      <c r="E96" s="142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</row>
    <row r="97">
      <c r="A97" s="121"/>
      <c r="B97" s="121"/>
      <c r="C97" s="121"/>
      <c r="D97" s="121"/>
      <c r="E97" s="142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</row>
    <row r="98">
      <c r="A98" s="121"/>
      <c r="B98" s="121"/>
      <c r="C98" s="121"/>
      <c r="D98" s="121"/>
      <c r="E98" s="142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</row>
    <row r="99">
      <c r="A99" s="121"/>
      <c r="B99" s="121"/>
      <c r="C99" s="121"/>
      <c r="D99" s="121"/>
      <c r="E99" s="142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</row>
    <row r="100">
      <c r="A100" s="121"/>
      <c r="B100" s="121"/>
      <c r="C100" s="121"/>
      <c r="D100" s="121"/>
      <c r="E100" s="142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</row>
    <row r="101">
      <c r="A101" s="121"/>
      <c r="B101" s="121"/>
      <c r="C101" s="121"/>
      <c r="D101" s="121"/>
      <c r="E101" s="142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</row>
    <row r="102">
      <c r="A102" s="121"/>
      <c r="B102" s="121"/>
      <c r="C102" s="121"/>
      <c r="D102" s="121"/>
      <c r="E102" s="142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</row>
    <row r="103">
      <c r="A103" s="121"/>
      <c r="B103" s="121"/>
      <c r="C103" s="121"/>
      <c r="D103" s="121"/>
      <c r="E103" s="142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</row>
    <row r="104">
      <c r="A104" s="121"/>
      <c r="B104" s="121"/>
      <c r="C104" s="121"/>
      <c r="D104" s="121"/>
      <c r="E104" s="142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</row>
    <row r="105">
      <c r="A105" s="121"/>
      <c r="B105" s="121"/>
      <c r="C105" s="121"/>
      <c r="D105" s="121"/>
      <c r="E105" s="142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</row>
    <row r="106">
      <c r="A106" s="121"/>
      <c r="B106" s="121"/>
      <c r="C106" s="121"/>
      <c r="D106" s="121"/>
      <c r="E106" s="142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</row>
    <row r="107">
      <c r="A107" s="121"/>
      <c r="B107" s="121"/>
      <c r="C107" s="121"/>
      <c r="D107" s="121"/>
      <c r="E107" s="142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</row>
    <row r="108">
      <c r="A108" s="121"/>
      <c r="B108" s="121"/>
      <c r="C108" s="121"/>
      <c r="D108" s="121"/>
      <c r="E108" s="142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</row>
    <row r="109">
      <c r="A109" s="121"/>
      <c r="B109" s="121"/>
      <c r="C109" s="121"/>
      <c r="D109" s="121"/>
      <c r="E109" s="142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</row>
    <row r="110">
      <c r="A110" s="121"/>
      <c r="B110" s="121"/>
      <c r="C110" s="121"/>
      <c r="D110" s="121"/>
      <c r="E110" s="142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</row>
    <row r="111">
      <c r="A111" s="121"/>
      <c r="B111" s="121"/>
      <c r="C111" s="121"/>
      <c r="D111" s="121"/>
      <c r="E111" s="142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</row>
    <row r="112">
      <c r="A112" s="121"/>
      <c r="B112" s="121"/>
      <c r="C112" s="121"/>
      <c r="D112" s="121"/>
      <c r="E112" s="142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</row>
    <row r="113">
      <c r="A113" s="121"/>
      <c r="B113" s="121"/>
      <c r="C113" s="121"/>
      <c r="D113" s="121"/>
      <c r="E113" s="142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</row>
    <row r="114">
      <c r="A114" s="121"/>
      <c r="B114" s="121"/>
      <c r="C114" s="121"/>
      <c r="D114" s="121"/>
      <c r="E114" s="142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</row>
    <row r="115">
      <c r="A115" s="121"/>
      <c r="B115" s="121"/>
      <c r="C115" s="121"/>
      <c r="D115" s="121"/>
      <c r="E115" s="142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</row>
    <row r="116">
      <c r="A116" s="121"/>
      <c r="B116" s="121"/>
      <c r="C116" s="121"/>
      <c r="D116" s="121"/>
      <c r="E116" s="142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</row>
    <row r="117">
      <c r="A117" s="121"/>
      <c r="B117" s="121"/>
      <c r="C117" s="121"/>
      <c r="D117" s="121"/>
      <c r="E117" s="142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</row>
    <row r="118">
      <c r="A118" s="121"/>
      <c r="B118" s="121"/>
      <c r="C118" s="121"/>
      <c r="D118" s="121"/>
      <c r="E118" s="142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</row>
    <row r="119">
      <c r="A119" s="121"/>
      <c r="B119" s="121"/>
      <c r="C119" s="121"/>
      <c r="D119" s="121"/>
      <c r="E119" s="142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</row>
    <row r="120">
      <c r="A120" s="121"/>
      <c r="B120" s="121"/>
      <c r="C120" s="121"/>
      <c r="D120" s="121"/>
      <c r="E120" s="142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</row>
    <row r="121">
      <c r="A121" s="121"/>
      <c r="B121" s="121"/>
      <c r="C121" s="121"/>
      <c r="D121" s="121"/>
      <c r="E121" s="142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</row>
    <row r="122">
      <c r="A122" s="121"/>
      <c r="B122" s="121"/>
      <c r="C122" s="121"/>
      <c r="D122" s="121"/>
      <c r="E122" s="142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</row>
    <row r="123">
      <c r="A123" s="121"/>
      <c r="B123" s="121"/>
      <c r="C123" s="121"/>
      <c r="D123" s="121"/>
      <c r="E123" s="142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</row>
    <row r="124">
      <c r="A124" s="121"/>
      <c r="B124" s="121"/>
      <c r="C124" s="121"/>
      <c r="D124" s="121"/>
      <c r="E124" s="142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</row>
    <row r="125">
      <c r="A125" s="121"/>
      <c r="B125" s="121"/>
      <c r="C125" s="121"/>
      <c r="D125" s="121"/>
      <c r="E125" s="142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</row>
    <row r="126">
      <c r="A126" s="121"/>
      <c r="B126" s="121"/>
      <c r="C126" s="121"/>
      <c r="D126" s="121"/>
      <c r="E126" s="142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</row>
    <row r="127">
      <c r="A127" s="121"/>
      <c r="B127" s="121"/>
      <c r="C127" s="121"/>
      <c r="D127" s="121"/>
      <c r="E127" s="142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</row>
    <row r="128">
      <c r="A128" s="121"/>
      <c r="B128" s="121"/>
      <c r="C128" s="121"/>
      <c r="D128" s="121"/>
      <c r="E128" s="142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</row>
    <row r="129">
      <c r="A129" s="121"/>
      <c r="B129" s="121"/>
      <c r="C129" s="121"/>
      <c r="D129" s="121"/>
      <c r="E129" s="142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</row>
    <row r="130">
      <c r="A130" s="121"/>
      <c r="B130" s="121"/>
      <c r="C130" s="121"/>
      <c r="D130" s="121"/>
      <c r="E130" s="142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</row>
    <row r="131">
      <c r="A131" s="121"/>
      <c r="B131" s="121"/>
      <c r="C131" s="121"/>
      <c r="D131" s="121"/>
      <c r="E131" s="142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</row>
    <row r="132">
      <c r="A132" s="121"/>
      <c r="B132" s="121"/>
      <c r="C132" s="121"/>
      <c r="D132" s="121"/>
      <c r="E132" s="142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</row>
    <row r="133">
      <c r="A133" s="121"/>
      <c r="B133" s="121"/>
      <c r="C133" s="121"/>
      <c r="D133" s="121"/>
      <c r="E133" s="142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</row>
    <row r="134">
      <c r="A134" s="121"/>
      <c r="B134" s="121"/>
      <c r="C134" s="121"/>
      <c r="D134" s="121"/>
      <c r="E134" s="142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</row>
    <row r="135">
      <c r="A135" s="121"/>
      <c r="B135" s="121"/>
      <c r="C135" s="121"/>
      <c r="D135" s="121"/>
      <c r="E135" s="142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</row>
    <row r="136">
      <c r="A136" s="121"/>
      <c r="B136" s="121"/>
      <c r="C136" s="121"/>
      <c r="D136" s="121"/>
      <c r="E136" s="142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</row>
    <row r="137">
      <c r="A137" s="121"/>
      <c r="B137" s="121"/>
      <c r="C137" s="121"/>
      <c r="D137" s="121"/>
      <c r="E137" s="142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</row>
    <row r="138">
      <c r="A138" s="121"/>
      <c r="B138" s="121"/>
      <c r="C138" s="121"/>
      <c r="D138" s="121"/>
      <c r="E138" s="142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</row>
    <row r="139">
      <c r="A139" s="121"/>
      <c r="B139" s="121"/>
      <c r="C139" s="121"/>
      <c r="D139" s="121"/>
      <c r="E139" s="142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</row>
    <row r="140">
      <c r="A140" s="121"/>
      <c r="B140" s="121"/>
      <c r="C140" s="121"/>
      <c r="D140" s="121"/>
      <c r="E140" s="142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</row>
    <row r="141">
      <c r="A141" s="121"/>
      <c r="B141" s="121"/>
      <c r="C141" s="121"/>
      <c r="D141" s="121"/>
      <c r="E141" s="142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  <c r="AC141" s="121"/>
      <c r="AD141" s="121"/>
    </row>
    <row r="142">
      <c r="A142" s="121"/>
      <c r="B142" s="121"/>
      <c r="C142" s="121"/>
      <c r="D142" s="121"/>
      <c r="E142" s="142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  <c r="AC142" s="121"/>
      <c r="AD142" s="121"/>
    </row>
    <row r="143">
      <c r="A143" s="121"/>
      <c r="B143" s="121"/>
      <c r="C143" s="121"/>
      <c r="D143" s="121"/>
      <c r="E143" s="142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  <c r="AC143" s="121"/>
      <c r="AD143" s="121"/>
    </row>
    <row r="144">
      <c r="A144" s="121"/>
      <c r="B144" s="121"/>
      <c r="C144" s="121"/>
      <c r="D144" s="121"/>
      <c r="E144" s="142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  <c r="AC144" s="121"/>
      <c r="AD144" s="121"/>
    </row>
    <row r="145">
      <c r="A145" s="121"/>
      <c r="B145" s="121"/>
      <c r="C145" s="121"/>
      <c r="D145" s="121"/>
      <c r="E145" s="142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  <c r="AC145" s="121"/>
      <c r="AD145" s="121"/>
    </row>
    <row r="146">
      <c r="A146" s="121"/>
      <c r="B146" s="121"/>
      <c r="C146" s="121"/>
      <c r="D146" s="121"/>
      <c r="E146" s="142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  <c r="AC146" s="121"/>
      <c r="AD146" s="121"/>
    </row>
    <row r="147">
      <c r="A147" s="121"/>
      <c r="B147" s="121"/>
      <c r="C147" s="121"/>
      <c r="D147" s="121"/>
      <c r="E147" s="142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  <c r="AC147" s="121"/>
      <c r="AD147" s="121"/>
    </row>
    <row r="148">
      <c r="A148" s="121"/>
      <c r="B148" s="121"/>
      <c r="C148" s="121"/>
      <c r="D148" s="121"/>
      <c r="E148" s="142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  <c r="AC148" s="121"/>
      <c r="AD148" s="121"/>
    </row>
    <row r="149">
      <c r="A149" s="121"/>
      <c r="B149" s="121"/>
      <c r="C149" s="121"/>
      <c r="D149" s="121"/>
      <c r="E149" s="142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  <c r="AC149" s="121"/>
      <c r="AD149" s="121"/>
    </row>
    <row r="150">
      <c r="A150" s="121"/>
      <c r="B150" s="121"/>
      <c r="C150" s="121"/>
      <c r="D150" s="121"/>
      <c r="E150" s="142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  <c r="AD150" s="121"/>
    </row>
    <row r="151">
      <c r="A151" s="121"/>
      <c r="B151" s="121"/>
      <c r="C151" s="121"/>
      <c r="D151" s="121"/>
      <c r="E151" s="142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</row>
    <row r="152">
      <c r="A152" s="121"/>
      <c r="B152" s="121"/>
      <c r="C152" s="121"/>
      <c r="D152" s="121"/>
      <c r="E152" s="142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  <c r="AC152" s="121"/>
      <c r="AD152" s="121"/>
    </row>
    <row r="153">
      <c r="A153" s="121"/>
      <c r="B153" s="121"/>
      <c r="C153" s="121"/>
      <c r="D153" s="121"/>
      <c r="E153" s="142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  <c r="AC153" s="121"/>
      <c r="AD153" s="121"/>
    </row>
    <row r="154">
      <c r="A154" s="121"/>
      <c r="B154" s="121"/>
      <c r="C154" s="121"/>
      <c r="D154" s="121"/>
      <c r="E154" s="142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  <c r="AC154" s="121"/>
      <c r="AD154" s="121"/>
    </row>
    <row r="155">
      <c r="A155" s="121"/>
      <c r="B155" s="121"/>
      <c r="C155" s="121"/>
      <c r="D155" s="121"/>
      <c r="E155" s="142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  <c r="AC155" s="121"/>
      <c r="AD155" s="121"/>
    </row>
    <row r="156">
      <c r="A156" s="121"/>
      <c r="B156" s="121"/>
      <c r="C156" s="121"/>
      <c r="D156" s="121"/>
      <c r="E156" s="142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</row>
    <row r="157">
      <c r="A157" s="121"/>
      <c r="B157" s="121"/>
      <c r="C157" s="121"/>
      <c r="D157" s="121"/>
      <c r="E157" s="142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  <c r="AC157" s="121"/>
      <c r="AD157" s="121"/>
    </row>
    <row r="158">
      <c r="A158" s="121"/>
      <c r="B158" s="121"/>
      <c r="C158" s="121"/>
      <c r="D158" s="121"/>
      <c r="E158" s="142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</row>
    <row r="159">
      <c r="A159" s="121"/>
      <c r="B159" s="121"/>
      <c r="C159" s="121"/>
      <c r="D159" s="121"/>
      <c r="E159" s="142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</row>
    <row r="160">
      <c r="A160" s="121"/>
      <c r="B160" s="121"/>
      <c r="C160" s="121"/>
      <c r="D160" s="121"/>
      <c r="E160" s="142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  <c r="AB160" s="121"/>
      <c r="AC160" s="121"/>
      <c r="AD160" s="121"/>
    </row>
    <row r="161">
      <c r="A161" s="121"/>
      <c r="B161" s="121"/>
      <c r="C161" s="121"/>
      <c r="D161" s="121"/>
      <c r="E161" s="142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</row>
    <row r="162">
      <c r="A162" s="121"/>
      <c r="B162" s="121"/>
      <c r="C162" s="121"/>
      <c r="D162" s="121"/>
      <c r="E162" s="142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</row>
    <row r="163">
      <c r="A163" s="121"/>
      <c r="B163" s="121"/>
      <c r="C163" s="121"/>
      <c r="D163" s="121"/>
      <c r="E163" s="142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</row>
    <row r="164">
      <c r="A164" s="121"/>
      <c r="B164" s="121"/>
      <c r="C164" s="121"/>
      <c r="D164" s="121"/>
      <c r="E164" s="142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</row>
    <row r="165">
      <c r="A165" s="121"/>
      <c r="B165" s="121"/>
      <c r="C165" s="121"/>
      <c r="D165" s="121"/>
      <c r="E165" s="142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</row>
    <row r="166">
      <c r="A166" s="121"/>
      <c r="B166" s="121"/>
      <c r="C166" s="121"/>
      <c r="D166" s="121"/>
      <c r="E166" s="142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</row>
    <row r="167">
      <c r="A167" s="121"/>
      <c r="B167" s="121"/>
      <c r="C167" s="121"/>
      <c r="D167" s="121"/>
      <c r="E167" s="142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</row>
    <row r="168">
      <c r="A168" s="121"/>
      <c r="B168" s="121"/>
      <c r="C168" s="121"/>
      <c r="D168" s="121"/>
      <c r="E168" s="142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</row>
    <row r="169">
      <c r="A169" s="121"/>
      <c r="B169" s="121"/>
      <c r="C169" s="121"/>
      <c r="D169" s="121"/>
      <c r="E169" s="142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</row>
    <row r="170">
      <c r="A170" s="121"/>
      <c r="B170" s="121"/>
      <c r="C170" s="121"/>
      <c r="D170" s="121"/>
      <c r="E170" s="142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</row>
    <row r="171">
      <c r="A171" s="121"/>
      <c r="B171" s="121"/>
      <c r="C171" s="121"/>
      <c r="D171" s="121"/>
      <c r="E171" s="142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</row>
    <row r="172">
      <c r="A172" s="121"/>
      <c r="B172" s="121"/>
      <c r="C172" s="121"/>
      <c r="D172" s="121"/>
      <c r="E172" s="142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  <c r="AA172" s="121"/>
      <c r="AB172" s="121"/>
      <c r="AC172" s="121"/>
      <c r="AD172" s="121"/>
    </row>
    <row r="173">
      <c r="A173" s="121"/>
      <c r="B173" s="121"/>
      <c r="C173" s="121"/>
      <c r="D173" s="121"/>
      <c r="E173" s="142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  <c r="AA173" s="121"/>
      <c r="AB173" s="121"/>
      <c r="AC173" s="121"/>
      <c r="AD173" s="121"/>
    </row>
    <row r="174">
      <c r="A174" s="121"/>
      <c r="B174" s="121"/>
      <c r="C174" s="121"/>
      <c r="D174" s="121"/>
      <c r="E174" s="142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  <c r="AA174" s="121"/>
      <c r="AB174" s="121"/>
      <c r="AC174" s="121"/>
      <c r="AD174" s="121"/>
    </row>
    <row r="175">
      <c r="A175" s="121"/>
      <c r="B175" s="121"/>
      <c r="C175" s="121"/>
      <c r="D175" s="121"/>
      <c r="E175" s="142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  <c r="AA175" s="121"/>
      <c r="AB175" s="121"/>
      <c r="AC175" s="121"/>
      <c r="AD175" s="121"/>
    </row>
    <row r="176">
      <c r="A176" s="121"/>
      <c r="B176" s="121"/>
      <c r="C176" s="121"/>
      <c r="D176" s="121"/>
      <c r="E176" s="142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  <c r="AA176" s="121"/>
      <c r="AB176" s="121"/>
      <c r="AC176" s="121"/>
      <c r="AD176" s="121"/>
    </row>
    <row r="177">
      <c r="A177" s="121"/>
      <c r="B177" s="121"/>
      <c r="C177" s="121"/>
      <c r="D177" s="121"/>
      <c r="E177" s="142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  <c r="AA177" s="121"/>
      <c r="AB177" s="121"/>
      <c r="AC177" s="121"/>
      <c r="AD177" s="121"/>
    </row>
    <row r="178">
      <c r="A178" s="121"/>
      <c r="B178" s="121"/>
      <c r="C178" s="121"/>
      <c r="D178" s="121"/>
      <c r="E178" s="142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  <c r="AA178" s="121"/>
      <c r="AB178" s="121"/>
      <c r="AC178" s="121"/>
      <c r="AD178" s="121"/>
    </row>
    <row r="179">
      <c r="A179" s="121"/>
      <c r="B179" s="121"/>
      <c r="C179" s="121"/>
      <c r="D179" s="121"/>
      <c r="E179" s="142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  <c r="AA179" s="121"/>
      <c r="AB179" s="121"/>
      <c r="AC179" s="121"/>
      <c r="AD179" s="121"/>
    </row>
    <row r="180">
      <c r="A180" s="121"/>
      <c r="B180" s="121"/>
      <c r="C180" s="121"/>
      <c r="D180" s="121"/>
      <c r="E180" s="142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  <c r="AA180" s="121"/>
      <c r="AB180" s="121"/>
      <c r="AC180" s="121"/>
      <c r="AD180" s="121"/>
    </row>
    <row r="181">
      <c r="A181" s="121"/>
      <c r="B181" s="121"/>
      <c r="C181" s="121"/>
      <c r="D181" s="121"/>
      <c r="E181" s="142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  <c r="AA181" s="121"/>
      <c r="AB181" s="121"/>
      <c r="AC181" s="121"/>
      <c r="AD181" s="121"/>
    </row>
    <row r="182">
      <c r="A182" s="121"/>
      <c r="B182" s="121"/>
      <c r="C182" s="121"/>
      <c r="D182" s="121"/>
      <c r="E182" s="142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  <c r="AA182" s="121"/>
      <c r="AB182" s="121"/>
      <c r="AC182" s="121"/>
      <c r="AD182" s="121"/>
    </row>
    <row r="183">
      <c r="A183" s="121"/>
      <c r="B183" s="121"/>
      <c r="C183" s="121"/>
      <c r="D183" s="121"/>
      <c r="E183" s="142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  <c r="AA183" s="121"/>
      <c r="AB183" s="121"/>
      <c r="AC183" s="121"/>
      <c r="AD183" s="121"/>
    </row>
    <row r="184">
      <c r="A184" s="121"/>
      <c r="B184" s="121"/>
      <c r="C184" s="121"/>
      <c r="D184" s="121"/>
      <c r="E184" s="142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  <c r="AA184" s="121"/>
      <c r="AB184" s="121"/>
      <c r="AC184" s="121"/>
      <c r="AD184" s="121"/>
    </row>
    <row r="185">
      <c r="A185" s="121"/>
      <c r="B185" s="121"/>
      <c r="C185" s="121"/>
      <c r="D185" s="121"/>
      <c r="E185" s="142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  <c r="AA185" s="121"/>
      <c r="AB185" s="121"/>
      <c r="AC185" s="121"/>
      <c r="AD185" s="121"/>
    </row>
    <row r="186">
      <c r="A186" s="121"/>
      <c r="B186" s="121"/>
      <c r="C186" s="121"/>
      <c r="D186" s="121"/>
      <c r="E186" s="142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  <c r="AA186" s="121"/>
      <c r="AB186" s="121"/>
      <c r="AC186" s="121"/>
      <c r="AD186" s="121"/>
    </row>
    <row r="187">
      <c r="A187" s="121"/>
      <c r="B187" s="121"/>
      <c r="C187" s="121"/>
      <c r="D187" s="121"/>
      <c r="E187" s="142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  <c r="AA187" s="121"/>
      <c r="AB187" s="121"/>
      <c r="AC187" s="121"/>
      <c r="AD187" s="121"/>
    </row>
    <row r="188">
      <c r="A188" s="121"/>
      <c r="B188" s="121"/>
      <c r="C188" s="121"/>
      <c r="D188" s="121"/>
      <c r="E188" s="142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  <c r="AA188" s="121"/>
      <c r="AB188" s="121"/>
      <c r="AC188" s="121"/>
      <c r="AD188" s="121"/>
    </row>
    <row r="189">
      <c r="A189" s="121"/>
      <c r="B189" s="121"/>
      <c r="C189" s="121"/>
      <c r="D189" s="121"/>
      <c r="E189" s="142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  <c r="AA189" s="121"/>
      <c r="AB189" s="121"/>
      <c r="AC189" s="121"/>
      <c r="AD189" s="121"/>
    </row>
    <row r="190">
      <c r="A190" s="121"/>
      <c r="B190" s="121"/>
      <c r="C190" s="121"/>
      <c r="D190" s="121"/>
      <c r="E190" s="142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1"/>
      <c r="AB190" s="121"/>
      <c r="AC190" s="121"/>
      <c r="AD190" s="121"/>
    </row>
    <row r="191">
      <c r="A191" s="121"/>
      <c r="B191" s="121"/>
      <c r="C191" s="121"/>
      <c r="D191" s="121"/>
      <c r="E191" s="142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  <c r="AB191" s="121"/>
      <c r="AC191" s="121"/>
      <c r="AD191" s="121"/>
    </row>
    <row r="192">
      <c r="A192" s="121"/>
      <c r="B192" s="121"/>
      <c r="C192" s="121"/>
      <c r="D192" s="121"/>
      <c r="E192" s="142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  <c r="AB192" s="121"/>
      <c r="AC192" s="121"/>
      <c r="AD192" s="121"/>
    </row>
    <row r="193">
      <c r="A193" s="121"/>
      <c r="B193" s="121"/>
      <c r="C193" s="121"/>
      <c r="D193" s="121"/>
      <c r="E193" s="142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  <c r="AB193" s="121"/>
      <c r="AC193" s="121"/>
      <c r="AD193" s="121"/>
    </row>
    <row r="194">
      <c r="A194" s="121"/>
      <c r="B194" s="121"/>
      <c r="C194" s="121"/>
      <c r="D194" s="121"/>
      <c r="E194" s="142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  <c r="AC194" s="121"/>
      <c r="AD194" s="121"/>
    </row>
    <row r="195">
      <c r="A195" s="121"/>
      <c r="B195" s="121"/>
      <c r="C195" s="121"/>
      <c r="D195" s="121"/>
      <c r="E195" s="142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  <c r="AC195" s="121"/>
      <c r="AD195" s="121"/>
    </row>
    <row r="196">
      <c r="A196" s="121"/>
      <c r="B196" s="121"/>
      <c r="C196" s="121"/>
      <c r="D196" s="121"/>
      <c r="E196" s="142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</row>
    <row r="197">
      <c r="A197" s="121"/>
      <c r="B197" s="121"/>
      <c r="C197" s="121"/>
      <c r="D197" s="121"/>
      <c r="E197" s="142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</row>
    <row r="198">
      <c r="A198" s="121"/>
      <c r="B198" s="121"/>
      <c r="C198" s="121"/>
      <c r="D198" s="121"/>
      <c r="E198" s="142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  <c r="AA198" s="121"/>
      <c r="AB198" s="121"/>
      <c r="AC198" s="121"/>
      <c r="AD198" s="121"/>
    </row>
    <row r="199">
      <c r="A199" s="121"/>
      <c r="B199" s="121"/>
      <c r="C199" s="121"/>
      <c r="D199" s="121"/>
      <c r="E199" s="142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</row>
    <row r="200">
      <c r="A200" s="121"/>
      <c r="B200" s="121"/>
      <c r="C200" s="121"/>
      <c r="D200" s="121"/>
      <c r="E200" s="142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</row>
    <row r="201">
      <c r="A201" s="121"/>
      <c r="B201" s="121"/>
      <c r="C201" s="121"/>
      <c r="D201" s="121"/>
      <c r="E201" s="142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</row>
    <row r="202">
      <c r="A202" s="121"/>
      <c r="B202" s="121"/>
      <c r="C202" s="121"/>
      <c r="D202" s="121"/>
      <c r="E202" s="142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</row>
    <row r="203">
      <c r="A203" s="121"/>
      <c r="B203" s="121"/>
      <c r="C203" s="121"/>
      <c r="D203" s="121"/>
      <c r="E203" s="142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</row>
    <row r="204">
      <c r="A204" s="121"/>
      <c r="B204" s="121"/>
      <c r="C204" s="121"/>
      <c r="D204" s="121"/>
      <c r="E204" s="142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</row>
    <row r="205">
      <c r="A205" s="121"/>
      <c r="B205" s="121"/>
      <c r="C205" s="121"/>
      <c r="D205" s="121"/>
      <c r="E205" s="142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</row>
    <row r="206">
      <c r="A206" s="121"/>
      <c r="B206" s="121"/>
      <c r="C206" s="121"/>
      <c r="D206" s="121"/>
      <c r="E206" s="142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</row>
    <row r="207">
      <c r="A207" s="121"/>
      <c r="B207" s="121"/>
      <c r="C207" s="121"/>
      <c r="D207" s="121"/>
      <c r="E207" s="142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</row>
    <row r="208">
      <c r="A208" s="121"/>
      <c r="B208" s="121"/>
      <c r="C208" s="121"/>
      <c r="D208" s="121"/>
      <c r="E208" s="142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</row>
    <row r="209">
      <c r="A209" s="121"/>
      <c r="B209" s="121"/>
      <c r="C209" s="121"/>
      <c r="D209" s="121"/>
      <c r="E209" s="142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</row>
    <row r="210">
      <c r="A210" s="121"/>
      <c r="B210" s="121"/>
      <c r="C210" s="121"/>
      <c r="D210" s="121"/>
      <c r="E210" s="142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  <c r="AA210" s="121"/>
      <c r="AB210" s="121"/>
      <c r="AC210" s="121"/>
      <c r="AD210" s="121"/>
    </row>
    <row r="211">
      <c r="A211" s="121"/>
      <c r="B211" s="121"/>
      <c r="C211" s="121"/>
      <c r="D211" s="121"/>
      <c r="E211" s="142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  <c r="AA211" s="121"/>
      <c r="AB211" s="121"/>
      <c r="AC211" s="121"/>
      <c r="AD211" s="121"/>
    </row>
    <row r="212">
      <c r="A212" s="121"/>
      <c r="B212" s="121"/>
      <c r="C212" s="121"/>
      <c r="D212" s="121"/>
      <c r="E212" s="142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  <c r="AA212" s="121"/>
      <c r="AB212" s="121"/>
      <c r="AC212" s="121"/>
      <c r="AD212" s="121"/>
    </row>
    <row r="213">
      <c r="A213" s="121"/>
      <c r="B213" s="121"/>
      <c r="C213" s="121"/>
      <c r="D213" s="121"/>
      <c r="E213" s="142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  <c r="AA213" s="121"/>
      <c r="AB213" s="121"/>
      <c r="AC213" s="121"/>
      <c r="AD213" s="121"/>
    </row>
    <row r="214">
      <c r="A214" s="121"/>
      <c r="B214" s="121"/>
      <c r="C214" s="121"/>
      <c r="D214" s="121"/>
      <c r="E214" s="142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  <c r="AA214" s="121"/>
      <c r="AB214" s="121"/>
      <c r="AC214" s="121"/>
      <c r="AD214" s="121"/>
    </row>
    <row r="215">
      <c r="A215" s="121"/>
      <c r="B215" s="121"/>
      <c r="C215" s="121"/>
      <c r="D215" s="121"/>
      <c r="E215" s="142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  <c r="AA215" s="121"/>
      <c r="AB215" s="121"/>
      <c r="AC215" s="121"/>
      <c r="AD215" s="121"/>
    </row>
    <row r="216">
      <c r="A216" s="121"/>
      <c r="B216" s="121"/>
      <c r="C216" s="121"/>
      <c r="D216" s="121"/>
      <c r="E216" s="142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  <c r="AA216" s="121"/>
      <c r="AB216" s="121"/>
      <c r="AC216" s="121"/>
      <c r="AD216" s="121"/>
    </row>
    <row r="217">
      <c r="A217" s="121"/>
      <c r="B217" s="121"/>
      <c r="C217" s="121"/>
      <c r="D217" s="121"/>
      <c r="E217" s="142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  <c r="AA217" s="121"/>
      <c r="AB217" s="121"/>
      <c r="AC217" s="121"/>
      <c r="AD217" s="121"/>
    </row>
    <row r="218">
      <c r="A218" s="121"/>
      <c r="B218" s="121"/>
      <c r="C218" s="121"/>
      <c r="D218" s="121"/>
      <c r="E218" s="142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  <c r="AA218" s="121"/>
      <c r="AB218" s="121"/>
      <c r="AC218" s="121"/>
      <c r="AD218" s="121"/>
    </row>
    <row r="219">
      <c r="A219" s="121"/>
      <c r="B219" s="121"/>
      <c r="C219" s="121"/>
      <c r="D219" s="121"/>
      <c r="E219" s="142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  <c r="AA219" s="121"/>
      <c r="AB219" s="121"/>
      <c r="AC219" s="121"/>
      <c r="AD219" s="121"/>
    </row>
    <row r="220">
      <c r="A220" s="121"/>
      <c r="B220" s="121"/>
      <c r="C220" s="121"/>
      <c r="D220" s="121"/>
      <c r="E220" s="142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  <c r="AA220" s="121"/>
      <c r="AB220" s="121"/>
      <c r="AC220" s="121"/>
      <c r="AD220" s="121"/>
    </row>
    <row r="221">
      <c r="A221" s="121"/>
      <c r="B221" s="121"/>
      <c r="C221" s="121"/>
      <c r="D221" s="121"/>
      <c r="E221" s="142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  <c r="AA221" s="121"/>
      <c r="AB221" s="121"/>
      <c r="AC221" s="121"/>
      <c r="AD221" s="121"/>
    </row>
    <row r="222">
      <c r="A222" s="121"/>
      <c r="B222" s="121"/>
      <c r="C222" s="121"/>
      <c r="D222" s="121"/>
      <c r="E222" s="142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  <c r="AA222" s="121"/>
      <c r="AB222" s="121"/>
      <c r="AC222" s="121"/>
      <c r="AD222" s="121"/>
    </row>
    <row r="223">
      <c r="A223" s="121"/>
      <c r="B223" s="121"/>
      <c r="C223" s="121"/>
      <c r="D223" s="121"/>
      <c r="E223" s="142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  <c r="AA223" s="121"/>
      <c r="AB223" s="121"/>
      <c r="AC223" s="121"/>
      <c r="AD223" s="121"/>
    </row>
    <row r="224">
      <c r="A224" s="121"/>
      <c r="B224" s="121"/>
      <c r="C224" s="121"/>
      <c r="D224" s="121"/>
      <c r="E224" s="142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  <c r="AA224" s="121"/>
      <c r="AB224" s="121"/>
      <c r="AC224" s="121"/>
      <c r="AD224" s="121"/>
    </row>
    <row r="225">
      <c r="A225" s="121"/>
      <c r="B225" s="121"/>
      <c r="C225" s="121"/>
      <c r="D225" s="121"/>
      <c r="E225" s="142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  <c r="AA225" s="121"/>
      <c r="AB225" s="121"/>
      <c r="AC225" s="121"/>
      <c r="AD225" s="121"/>
    </row>
    <row r="226">
      <c r="A226" s="121"/>
      <c r="B226" s="121"/>
      <c r="C226" s="121"/>
      <c r="D226" s="121"/>
      <c r="E226" s="142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  <c r="AA226" s="121"/>
      <c r="AB226" s="121"/>
      <c r="AC226" s="121"/>
      <c r="AD226" s="121"/>
    </row>
    <row r="227">
      <c r="A227" s="121"/>
      <c r="B227" s="121"/>
      <c r="C227" s="121"/>
      <c r="D227" s="121"/>
      <c r="E227" s="142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  <c r="AA227" s="121"/>
      <c r="AB227" s="121"/>
      <c r="AC227" s="121"/>
      <c r="AD227" s="121"/>
    </row>
    <row r="228">
      <c r="A228" s="121"/>
      <c r="B228" s="121"/>
      <c r="C228" s="121"/>
      <c r="D228" s="121"/>
      <c r="E228" s="142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  <c r="AA228" s="121"/>
      <c r="AB228" s="121"/>
      <c r="AC228" s="121"/>
      <c r="AD228" s="121"/>
    </row>
    <row r="229">
      <c r="A229" s="121"/>
      <c r="B229" s="121"/>
      <c r="C229" s="121"/>
      <c r="D229" s="121"/>
      <c r="E229" s="142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  <c r="AA229" s="121"/>
      <c r="AB229" s="121"/>
      <c r="AC229" s="121"/>
      <c r="AD229" s="121"/>
    </row>
    <row r="230">
      <c r="A230" s="121"/>
      <c r="B230" s="121"/>
      <c r="C230" s="121"/>
      <c r="D230" s="121"/>
      <c r="E230" s="142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  <c r="AA230" s="121"/>
      <c r="AB230" s="121"/>
      <c r="AC230" s="121"/>
      <c r="AD230" s="121"/>
    </row>
    <row r="231">
      <c r="A231" s="121"/>
      <c r="B231" s="121"/>
      <c r="C231" s="121"/>
      <c r="D231" s="121"/>
      <c r="E231" s="142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  <c r="AA231" s="121"/>
      <c r="AB231" s="121"/>
      <c r="AC231" s="121"/>
      <c r="AD231" s="121"/>
    </row>
    <row r="232">
      <c r="A232" s="121"/>
      <c r="B232" s="121"/>
      <c r="C232" s="121"/>
      <c r="D232" s="121"/>
      <c r="E232" s="142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  <c r="AA232" s="121"/>
      <c r="AB232" s="121"/>
      <c r="AC232" s="121"/>
      <c r="AD232" s="121"/>
    </row>
    <row r="233">
      <c r="A233" s="121"/>
      <c r="B233" s="121"/>
      <c r="C233" s="121"/>
      <c r="D233" s="121"/>
      <c r="E233" s="142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  <c r="AA233" s="121"/>
      <c r="AB233" s="121"/>
      <c r="AC233" s="121"/>
      <c r="AD233" s="121"/>
    </row>
    <row r="234">
      <c r="A234" s="121"/>
      <c r="B234" s="121"/>
      <c r="C234" s="121"/>
      <c r="D234" s="121"/>
      <c r="E234" s="142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</row>
    <row r="235">
      <c r="A235" s="121"/>
      <c r="B235" s="121"/>
      <c r="C235" s="121"/>
      <c r="D235" s="121"/>
      <c r="E235" s="142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</row>
    <row r="236">
      <c r="A236" s="121"/>
      <c r="B236" s="121"/>
      <c r="C236" s="121"/>
      <c r="D236" s="121"/>
      <c r="E236" s="142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  <c r="AA236" s="121"/>
      <c r="AB236" s="121"/>
      <c r="AC236" s="121"/>
      <c r="AD236" s="121"/>
    </row>
    <row r="237">
      <c r="A237" s="121"/>
      <c r="B237" s="121"/>
      <c r="C237" s="121"/>
      <c r="D237" s="121"/>
      <c r="E237" s="142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</row>
    <row r="238">
      <c r="A238" s="121"/>
      <c r="B238" s="121"/>
      <c r="C238" s="121"/>
      <c r="D238" s="121"/>
      <c r="E238" s="142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</row>
    <row r="239">
      <c r="A239" s="121"/>
      <c r="B239" s="121"/>
      <c r="C239" s="121"/>
      <c r="D239" s="121"/>
      <c r="E239" s="142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</row>
    <row r="240">
      <c r="A240" s="121"/>
      <c r="B240" s="121"/>
      <c r="C240" s="121"/>
      <c r="D240" s="121"/>
      <c r="E240" s="142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</row>
    <row r="241">
      <c r="A241" s="121"/>
      <c r="B241" s="121"/>
      <c r="C241" s="121"/>
      <c r="D241" s="121"/>
      <c r="E241" s="142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</row>
    <row r="242">
      <c r="A242" s="121"/>
      <c r="B242" s="121"/>
      <c r="C242" s="121"/>
      <c r="D242" s="121"/>
      <c r="E242" s="142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</row>
    <row r="243">
      <c r="A243" s="121"/>
      <c r="B243" s="121"/>
      <c r="C243" s="121"/>
      <c r="D243" s="121"/>
      <c r="E243" s="142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</row>
    <row r="244">
      <c r="A244" s="121"/>
      <c r="B244" s="121"/>
      <c r="C244" s="121"/>
      <c r="D244" s="121"/>
      <c r="E244" s="142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</row>
    <row r="245">
      <c r="A245" s="121"/>
      <c r="B245" s="121"/>
      <c r="C245" s="121"/>
      <c r="D245" s="121"/>
      <c r="E245" s="142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</row>
    <row r="246">
      <c r="A246" s="121"/>
      <c r="B246" s="121"/>
      <c r="C246" s="121"/>
      <c r="D246" s="121"/>
      <c r="E246" s="142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</row>
    <row r="247">
      <c r="A247" s="121"/>
      <c r="B247" s="121"/>
      <c r="C247" s="121"/>
      <c r="D247" s="121"/>
      <c r="E247" s="142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</row>
    <row r="248">
      <c r="A248" s="121"/>
      <c r="B248" s="121"/>
      <c r="C248" s="121"/>
      <c r="D248" s="121"/>
      <c r="E248" s="142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  <c r="AA248" s="121"/>
      <c r="AB248" s="121"/>
      <c r="AC248" s="121"/>
      <c r="AD248" s="121"/>
    </row>
    <row r="249">
      <c r="A249" s="121"/>
      <c r="B249" s="121"/>
      <c r="C249" s="121"/>
      <c r="D249" s="121"/>
      <c r="E249" s="142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  <c r="AA249" s="121"/>
      <c r="AB249" s="121"/>
      <c r="AC249" s="121"/>
      <c r="AD249" s="121"/>
    </row>
    <row r="250">
      <c r="A250" s="121"/>
      <c r="B250" s="121"/>
      <c r="C250" s="121"/>
      <c r="D250" s="121"/>
      <c r="E250" s="142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  <c r="AA250" s="121"/>
      <c r="AB250" s="121"/>
      <c r="AC250" s="121"/>
      <c r="AD250" s="121"/>
    </row>
    <row r="251">
      <c r="A251" s="121"/>
      <c r="B251" s="121"/>
      <c r="C251" s="121"/>
      <c r="D251" s="121"/>
      <c r="E251" s="142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  <c r="AA251" s="121"/>
      <c r="AB251" s="121"/>
      <c r="AC251" s="121"/>
      <c r="AD251" s="121"/>
    </row>
    <row r="252">
      <c r="A252" s="121"/>
      <c r="B252" s="121"/>
      <c r="C252" s="121"/>
      <c r="D252" s="121"/>
      <c r="E252" s="142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  <c r="AA252" s="121"/>
      <c r="AB252" s="121"/>
      <c r="AC252" s="121"/>
      <c r="AD252" s="121"/>
    </row>
    <row r="253">
      <c r="A253" s="121"/>
      <c r="B253" s="121"/>
      <c r="C253" s="121"/>
      <c r="D253" s="121"/>
      <c r="E253" s="142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  <c r="AA253" s="121"/>
      <c r="AB253" s="121"/>
      <c r="AC253" s="121"/>
      <c r="AD253" s="121"/>
    </row>
    <row r="254">
      <c r="A254" s="121"/>
      <c r="B254" s="121"/>
      <c r="C254" s="121"/>
      <c r="D254" s="121"/>
      <c r="E254" s="142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  <c r="AA254" s="121"/>
      <c r="AB254" s="121"/>
      <c r="AC254" s="121"/>
      <c r="AD254" s="121"/>
    </row>
    <row r="255">
      <c r="A255" s="121"/>
      <c r="B255" s="121"/>
      <c r="C255" s="121"/>
      <c r="D255" s="121"/>
      <c r="E255" s="142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  <c r="AA255" s="121"/>
      <c r="AB255" s="121"/>
      <c r="AC255" s="121"/>
      <c r="AD255" s="121"/>
    </row>
    <row r="256">
      <c r="A256" s="121"/>
      <c r="B256" s="121"/>
      <c r="C256" s="121"/>
      <c r="D256" s="121"/>
      <c r="E256" s="142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  <c r="AA256" s="121"/>
      <c r="AB256" s="121"/>
      <c r="AC256" s="121"/>
      <c r="AD256" s="121"/>
    </row>
    <row r="257">
      <c r="A257" s="121"/>
      <c r="B257" s="121"/>
      <c r="C257" s="121"/>
      <c r="D257" s="121"/>
      <c r="E257" s="142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  <c r="AA257" s="121"/>
      <c r="AB257" s="121"/>
      <c r="AC257" s="121"/>
      <c r="AD257" s="121"/>
    </row>
    <row r="258">
      <c r="A258" s="121"/>
      <c r="B258" s="121"/>
      <c r="C258" s="121"/>
      <c r="D258" s="121"/>
      <c r="E258" s="142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  <c r="AA258" s="121"/>
      <c r="AB258" s="121"/>
      <c r="AC258" s="121"/>
      <c r="AD258" s="121"/>
    </row>
    <row r="259">
      <c r="A259" s="121"/>
      <c r="B259" s="121"/>
      <c r="C259" s="121"/>
      <c r="D259" s="121"/>
      <c r="E259" s="142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</row>
    <row r="260">
      <c r="A260" s="121"/>
      <c r="B260" s="121"/>
      <c r="C260" s="121"/>
      <c r="D260" s="121"/>
      <c r="E260" s="142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  <c r="AA260" s="121"/>
      <c r="AB260" s="121"/>
      <c r="AC260" s="121"/>
      <c r="AD260" s="121"/>
    </row>
    <row r="261">
      <c r="A261" s="121"/>
      <c r="B261" s="121"/>
      <c r="C261" s="121"/>
      <c r="D261" s="121"/>
      <c r="E261" s="142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  <c r="AA261" s="121"/>
      <c r="AB261" s="121"/>
      <c r="AC261" s="121"/>
      <c r="AD261" s="121"/>
    </row>
    <row r="262">
      <c r="A262" s="121"/>
      <c r="B262" s="121"/>
      <c r="C262" s="121"/>
      <c r="D262" s="121"/>
      <c r="E262" s="142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  <c r="AA262" s="121"/>
      <c r="AB262" s="121"/>
      <c r="AC262" s="121"/>
      <c r="AD262" s="121"/>
    </row>
    <row r="263">
      <c r="A263" s="121"/>
      <c r="B263" s="121"/>
      <c r="C263" s="121"/>
      <c r="D263" s="121"/>
      <c r="E263" s="142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  <c r="AA263" s="121"/>
      <c r="AB263" s="121"/>
      <c r="AC263" s="121"/>
      <c r="AD263" s="121"/>
    </row>
    <row r="264">
      <c r="A264" s="121"/>
      <c r="B264" s="121"/>
      <c r="C264" s="121"/>
      <c r="D264" s="121"/>
      <c r="E264" s="142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  <c r="AA264" s="121"/>
      <c r="AB264" s="121"/>
      <c r="AC264" s="121"/>
      <c r="AD264" s="121"/>
    </row>
    <row r="265">
      <c r="A265" s="121"/>
      <c r="B265" s="121"/>
      <c r="C265" s="121"/>
      <c r="D265" s="121"/>
      <c r="E265" s="142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  <c r="AA265" s="121"/>
      <c r="AB265" s="121"/>
      <c r="AC265" s="121"/>
      <c r="AD265" s="121"/>
    </row>
    <row r="266">
      <c r="A266" s="121"/>
      <c r="B266" s="121"/>
      <c r="C266" s="121"/>
      <c r="D266" s="121"/>
      <c r="E266" s="142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  <c r="AA266" s="121"/>
      <c r="AB266" s="121"/>
      <c r="AC266" s="121"/>
      <c r="AD266" s="121"/>
    </row>
    <row r="267">
      <c r="A267" s="121"/>
      <c r="B267" s="121"/>
      <c r="C267" s="121"/>
      <c r="D267" s="121"/>
      <c r="E267" s="142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  <c r="AA267" s="121"/>
      <c r="AB267" s="121"/>
      <c r="AC267" s="121"/>
      <c r="AD267" s="121"/>
    </row>
    <row r="268">
      <c r="A268" s="121"/>
      <c r="B268" s="121"/>
      <c r="C268" s="121"/>
      <c r="D268" s="121"/>
      <c r="E268" s="142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  <c r="AA268" s="121"/>
      <c r="AB268" s="121"/>
      <c r="AC268" s="121"/>
      <c r="AD268" s="121"/>
    </row>
    <row r="269">
      <c r="A269" s="121"/>
      <c r="B269" s="121"/>
      <c r="C269" s="121"/>
      <c r="D269" s="121"/>
      <c r="E269" s="142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  <c r="AA269" s="121"/>
      <c r="AB269" s="121"/>
      <c r="AC269" s="121"/>
      <c r="AD269" s="121"/>
    </row>
    <row r="270">
      <c r="A270" s="121"/>
      <c r="B270" s="121"/>
      <c r="C270" s="121"/>
      <c r="D270" s="121"/>
      <c r="E270" s="142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  <c r="AA270" s="121"/>
      <c r="AB270" s="121"/>
      <c r="AC270" s="121"/>
      <c r="AD270" s="121"/>
    </row>
    <row r="271">
      <c r="A271" s="121"/>
      <c r="B271" s="121"/>
      <c r="C271" s="121"/>
      <c r="D271" s="121"/>
      <c r="E271" s="142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  <c r="AA271" s="121"/>
      <c r="AB271" s="121"/>
      <c r="AC271" s="121"/>
      <c r="AD271" s="121"/>
    </row>
    <row r="272">
      <c r="A272" s="121"/>
      <c r="B272" s="121"/>
      <c r="C272" s="121"/>
      <c r="D272" s="121"/>
      <c r="E272" s="142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</row>
    <row r="273">
      <c r="A273" s="121"/>
      <c r="B273" s="121"/>
      <c r="C273" s="121"/>
      <c r="D273" s="121"/>
      <c r="E273" s="142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</row>
    <row r="274">
      <c r="A274" s="121"/>
      <c r="B274" s="121"/>
      <c r="C274" s="121"/>
      <c r="D274" s="121"/>
      <c r="E274" s="142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  <c r="AA274" s="121"/>
      <c r="AB274" s="121"/>
      <c r="AC274" s="121"/>
      <c r="AD274" s="121"/>
    </row>
    <row r="275">
      <c r="A275" s="121"/>
      <c r="B275" s="121"/>
      <c r="C275" s="121"/>
      <c r="D275" s="121"/>
      <c r="E275" s="142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</row>
    <row r="276">
      <c r="A276" s="121"/>
      <c r="B276" s="121"/>
      <c r="C276" s="121"/>
      <c r="D276" s="121"/>
      <c r="E276" s="142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</row>
    <row r="277">
      <c r="A277" s="121"/>
      <c r="B277" s="121"/>
      <c r="C277" s="121"/>
      <c r="D277" s="121"/>
      <c r="E277" s="142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</row>
    <row r="278">
      <c r="A278" s="121"/>
      <c r="B278" s="121"/>
      <c r="C278" s="121"/>
      <c r="D278" s="121"/>
      <c r="E278" s="142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</row>
    <row r="279">
      <c r="A279" s="121"/>
      <c r="B279" s="121"/>
      <c r="C279" s="121"/>
      <c r="D279" s="121"/>
      <c r="E279" s="142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</row>
    <row r="280">
      <c r="A280" s="121"/>
      <c r="B280" s="121"/>
      <c r="C280" s="121"/>
      <c r="D280" s="121"/>
      <c r="E280" s="142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</row>
    <row r="281">
      <c r="A281" s="121"/>
      <c r="B281" s="121"/>
      <c r="C281" s="121"/>
      <c r="D281" s="121"/>
      <c r="E281" s="142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</row>
    <row r="282">
      <c r="A282" s="121"/>
      <c r="B282" s="121"/>
      <c r="C282" s="121"/>
      <c r="D282" s="121"/>
      <c r="E282" s="142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</row>
    <row r="283">
      <c r="A283" s="121"/>
      <c r="B283" s="121"/>
      <c r="C283" s="121"/>
      <c r="D283" s="121"/>
      <c r="E283" s="142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</row>
    <row r="284">
      <c r="A284" s="121"/>
      <c r="B284" s="121"/>
      <c r="C284" s="121"/>
      <c r="D284" s="121"/>
      <c r="E284" s="142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</row>
    <row r="285">
      <c r="A285" s="121"/>
      <c r="B285" s="121"/>
      <c r="C285" s="121"/>
      <c r="D285" s="121"/>
      <c r="E285" s="142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</row>
    <row r="286">
      <c r="A286" s="121"/>
      <c r="B286" s="121"/>
      <c r="C286" s="121"/>
      <c r="D286" s="121"/>
      <c r="E286" s="142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  <c r="AA286" s="121"/>
      <c r="AB286" s="121"/>
      <c r="AC286" s="121"/>
      <c r="AD286" s="121"/>
    </row>
    <row r="287">
      <c r="A287" s="121"/>
      <c r="B287" s="121"/>
      <c r="C287" s="121"/>
      <c r="D287" s="121"/>
      <c r="E287" s="142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  <c r="AA287" s="121"/>
      <c r="AB287" s="121"/>
      <c r="AC287" s="121"/>
      <c r="AD287" s="121"/>
    </row>
    <row r="288">
      <c r="A288" s="121"/>
      <c r="B288" s="121"/>
      <c r="C288" s="121"/>
      <c r="D288" s="121"/>
      <c r="E288" s="142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  <c r="AA288" s="121"/>
      <c r="AB288" s="121"/>
      <c r="AC288" s="121"/>
      <c r="AD288" s="121"/>
    </row>
    <row r="289">
      <c r="A289" s="121"/>
      <c r="B289" s="121"/>
      <c r="C289" s="121"/>
      <c r="D289" s="121"/>
      <c r="E289" s="142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  <c r="AA289" s="121"/>
      <c r="AB289" s="121"/>
      <c r="AC289" s="121"/>
      <c r="AD289" s="121"/>
    </row>
    <row r="290">
      <c r="A290" s="121"/>
      <c r="B290" s="121"/>
      <c r="C290" s="121"/>
      <c r="D290" s="121"/>
      <c r="E290" s="142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  <c r="AA290" s="121"/>
      <c r="AB290" s="121"/>
      <c r="AC290" s="121"/>
      <c r="AD290" s="121"/>
    </row>
    <row r="291">
      <c r="A291" s="121"/>
      <c r="B291" s="121"/>
      <c r="C291" s="121"/>
      <c r="D291" s="121"/>
      <c r="E291" s="142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  <c r="AA291" s="121"/>
      <c r="AB291" s="121"/>
      <c r="AC291" s="121"/>
      <c r="AD291" s="121"/>
    </row>
    <row r="292">
      <c r="A292" s="121"/>
      <c r="B292" s="121"/>
      <c r="C292" s="121"/>
      <c r="D292" s="121"/>
      <c r="E292" s="142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  <c r="AA292" s="121"/>
      <c r="AB292" s="121"/>
      <c r="AC292" s="121"/>
      <c r="AD292" s="121"/>
    </row>
    <row r="293">
      <c r="A293" s="121"/>
      <c r="B293" s="121"/>
      <c r="C293" s="121"/>
      <c r="D293" s="121"/>
      <c r="E293" s="142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  <c r="AA293" s="121"/>
      <c r="AB293" s="121"/>
      <c r="AC293" s="121"/>
      <c r="AD293" s="121"/>
    </row>
    <row r="294">
      <c r="A294" s="121"/>
      <c r="B294" s="121"/>
      <c r="C294" s="121"/>
      <c r="D294" s="121"/>
      <c r="E294" s="142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  <c r="AA294" s="121"/>
      <c r="AB294" s="121"/>
      <c r="AC294" s="121"/>
      <c r="AD294" s="121"/>
    </row>
    <row r="295">
      <c r="A295" s="121"/>
      <c r="B295" s="121"/>
      <c r="C295" s="121"/>
      <c r="D295" s="121"/>
      <c r="E295" s="142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  <c r="AA295" s="121"/>
      <c r="AB295" s="121"/>
      <c r="AC295" s="121"/>
      <c r="AD295" s="121"/>
    </row>
    <row r="296">
      <c r="A296" s="121"/>
      <c r="B296" s="121"/>
      <c r="C296" s="121"/>
      <c r="D296" s="121"/>
      <c r="E296" s="142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  <c r="AA296" s="121"/>
      <c r="AB296" s="121"/>
      <c r="AC296" s="121"/>
      <c r="AD296" s="121"/>
    </row>
    <row r="297">
      <c r="A297" s="121"/>
      <c r="B297" s="121"/>
      <c r="C297" s="121"/>
      <c r="D297" s="121"/>
      <c r="E297" s="142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  <c r="AA297" s="121"/>
      <c r="AB297" s="121"/>
      <c r="AC297" s="121"/>
      <c r="AD297" s="121"/>
    </row>
    <row r="298">
      <c r="A298" s="121"/>
      <c r="B298" s="121"/>
      <c r="C298" s="121"/>
      <c r="D298" s="121"/>
      <c r="E298" s="142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  <c r="AA298" s="121"/>
      <c r="AB298" s="121"/>
      <c r="AC298" s="121"/>
      <c r="AD298" s="121"/>
    </row>
    <row r="299">
      <c r="A299" s="121"/>
      <c r="B299" s="121"/>
      <c r="C299" s="121"/>
      <c r="D299" s="121"/>
      <c r="E299" s="142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  <c r="AA299" s="121"/>
      <c r="AB299" s="121"/>
      <c r="AC299" s="121"/>
      <c r="AD299" s="121"/>
    </row>
    <row r="300">
      <c r="A300" s="121"/>
      <c r="B300" s="121"/>
      <c r="C300" s="121"/>
      <c r="D300" s="121"/>
      <c r="E300" s="142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  <c r="AA300" s="121"/>
      <c r="AB300" s="121"/>
      <c r="AC300" s="121"/>
      <c r="AD300" s="121"/>
    </row>
    <row r="301">
      <c r="A301" s="121"/>
      <c r="B301" s="121"/>
      <c r="C301" s="121"/>
      <c r="D301" s="121"/>
      <c r="E301" s="142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  <c r="AB301" s="121"/>
      <c r="AC301" s="121"/>
      <c r="AD301" s="121"/>
    </row>
    <row r="302">
      <c r="A302" s="121"/>
      <c r="B302" s="121"/>
      <c r="C302" s="121"/>
      <c r="D302" s="121"/>
      <c r="E302" s="142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  <c r="AA302" s="121"/>
      <c r="AB302" s="121"/>
      <c r="AC302" s="121"/>
      <c r="AD302" s="121"/>
    </row>
    <row r="303">
      <c r="A303" s="121"/>
      <c r="B303" s="121"/>
      <c r="C303" s="121"/>
      <c r="D303" s="121"/>
      <c r="E303" s="142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  <c r="AA303" s="121"/>
      <c r="AB303" s="121"/>
      <c r="AC303" s="121"/>
      <c r="AD303" s="121"/>
    </row>
    <row r="304">
      <c r="A304" s="121"/>
      <c r="B304" s="121"/>
      <c r="C304" s="121"/>
      <c r="D304" s="121"/>
      <c r="E304" s="142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  <c r="AA304" s="121"/>
      <c r="AB304" s="121"/>
      <c r="AC304" s="121"/>
      <c r="AD304" s="121"/>
    </row>
    <row r="305">
      <c r="A305" s="121"/>
      <c r="B305" s="121"/>
      <c r="C305" s="121"/>
      <c r="D305" s="121"/>
      <c r="E305" s="142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  <c r="AA305" s="121"/>
      <c r="AB305" s="121"/>
      <c r="AC305" s="121"/>
      <c r="AD305" s="121"/>
    </row>
    <row r="306">
      <c r="A306" s="121"/>
      <c r="B306" s="121"/>
      <c r="C306" s="121"/>
      <c r="D306" s="121"/>
      <c r="E306" s="142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  <c r="AA306" s="121"/>
      <c r="AB306" s="121"/>
      <c r="AC306" s="121"/>
      <c r="AD306" s="121"/>
    </row>
    <row r="307">
      <c r="A307" s="121"/>
      <c r="B307" s="121"/>
      <c r="C307" s="121"/>
      <c r="D307" s="121"/>
      <c r="E307" s="142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  <c r="AA307" s="121"/>
      <c r="AB307" s="121"/>
      <c r="AC307" s="121"/>
      <c r="AD307" s="121"/>
    </row>
    <row r="308">
      <c r="A308" s="121"/>
      <c r="B308" s="121"/>
      <c r="C308" s="121"/>
      <c r="D308" s="121"/>
      <c r="E308" s="142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  <c r="AA308" s="121"/>
      <c r="AB308" s="121"/>
      <c r="AC308" s="121"/>
      <c r="AD308" s="121"/>
    </row>
    <row r="309">
      <c r="A309" s="121"/>
      <c r="B309" s="121"/>
      <c r="C309" s="121"/>
      <c r="D309" s="121"/>
      <c r="E309" s="142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  <c r="AA309" s="121"/>
      <c r="AB309" s="121"/>
      <c r="AC309" s="121"/>
      <c r="AD309" s="121"/>
    </row>
    <row r="310">
      <c r="A310" s="121"/>
      <c r="B310" s="121"/>
      <c r="C310" s="121"/>
      <c r="D310" s="121"/>
      <c r="E310" s="142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</row>
    <row r="311">
      <c r="A311" s="121"/>
      <c r="B311" s="121"/>
      <c r="C311" s="121"/>
      <c r="D311" s="121"/>
      <c r="E311" s="142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</row>
    <row r="312">
      <c r="A312" s="121"/>
      <c r="B312" s="121"/>
      <c r="C312" s="121"/>
      <c r="D312" s="121"/>
      <c r="E312" s="142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  <c r="AA312" s="121"/>
      <c r="AB312" s="121"/>
      <c r="AC312" s="121"/>
      <c r="AD312" s="121"/>
    </row>
    <row r="313">
      <c r="A313" s="121"/>
      <c r="B313" s="121"/>
      <c r="C313" s="121"/>
      <c r="D313" s="121"/>
      <c r="E313" s="142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</row>
    <row r="314">
      <c r="A314" s="121"/>
      <c r="B314" s="121"/>
      <c r="C314" s="121"/>
      <c r="D314" s="121"/>
      <c r="E314" s="142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</row>
    <row r="315">
      <c r="A315" s="121"/>
      <c r="B315" s="121"/>
      <c r="C315" s="121"/>
      <c r="D315" s="121"/>
      <c r="E315" s="142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</row>
    <row r="316">
      <c r="A316" s="121"/>
      <c r="B316" s="121"/>
      <c r="C316" s="121"/>
      <c r="D316" s="121"/>
      <c r="E316" s="142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</row>
    <row r="317">
      <c r="A317" s="121"/>
      <c r="B317" s="121"/>
      <c r="C317" s="121"/>
      <c r="D317" s="121"/>
      <c r="E317" s="142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</row>
    <row r="318">
      <c r="A318" s="121"/>
      <c r="B318" s="121"/>
      <c r="C318" s="121"/>
      <c r="D318" s="121"/>
      <c r="E318" s="142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</row>
    <row r="319">
      <c r="A319" s="121"/>
      <c r="B319" s="121"/>
      <c r="C319" s="121"/>
      <c r="D319" s="121"/>
      <c r="E319" s="142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</row>
    <row r="320">
      <c r="A320" s="121"/>
      <c r="B320" s="121"/>
      <c r="C320" s="121"/>
      <c r="D320" s="121"/>
      <c r="E320" s="142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</row>
    <row r="321">
      <c r="A321" s="121"/>
      <c r="B321" s="121"/>
      <c r="C321" s="121"/>
      <c r="D321" s="121"/>
      <c r="E321" s="142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</row>
    <row r="322">
      <c r="A322" s="121"/>
      <c r="B322" s="121"/>
      <c r="C322" s="121"/>
      <c r="D322" s="121"/>
      <c r="E322" s="142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</row>
    <row r="323">
      <c r="A323" s="121"/>
      <c r="B323" s="121"/>
      <c r="C323" s="121"/>
      <c r="D323" s="121"/>
      <c r="E323" s="142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</row>
    <row r="324">
      <c r="A324" s="121"/>
      <c r="B324" s="121"/>
      <c r="C324" s="121"/>
      <c r="D324" s="121"/>
      <c r="E324" s="142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  <c r="AA324" s="121"/>
      <c r="AB324" s="121"/>
      <c r="AC324" s="121"/>
      <c r="AD324" s="121"/>
    </row>
    <row r="325">
      <c r="A325" s="121"/>
      <c r="B325" s="121"/>
      <c r="C325" s="121"/>
      <c r="D325" s="121"/>
      <c r="E325" s="142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  <c r="AA325" s="121"/>
      <c r="AB325" s="121"/>
      <c r="AC325" s="121"/>
      <c r="AD325" s="121"/>
    </row>
    <row r="326">
      <c r="A326" s="121"/>
      <c r="B326" s="121"/>
      <c r="C326" s="121"/>
      <c r="D326" s="121"/>
      <c r="E326" s="142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  <c r="AA326" s="121"/>
      <c r="AB326" s="121"/>
      <c r="AC326" s="121"/>
      <c r="AD326" s="121"/>
    </row>
    <row r="327">
      <c r="A327" s="121"/>
      <c r="B327" s="121"/>
      <c r="C327" s="121"/>
      <c r="D327" s="121"/>
      <c r="E327" s="142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  <c r="AA327" s="121"/>
      <c r="AB327" s="121"/>
      <c r="AC327" s="121"/>
      <c r="AD327" s="121"/>
    </row>
    <row r="328">
      <c r="A328" s="121"/>
      <c r="B328" s="121"/>
      <c r="C328" s="121"/>
      <c r="D328" s="121"/>
      <c r="E328" s="142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  <c r="AA328" s="121"/>
      <c r="AB328" s="121"/>
      <c r="AC328" s="121"/>
      <c r="AD328" s="121"/>
    </row>
    <row r="329">
      <c r="A329" s="121"/>
      <c r="B329" s="121"/>
      <c r="C329" s="121"/>
      <c r="D329" s="121"/>
      <c r="E329" s="142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  <c r="AA329" s="121"/>
      <c r="AB329" s="121"/>
      <c r="AC329" s="121"/>
      <c r="AD329" s="121"/>
    </row>
    <row r="330">
      <c r="A330" s="121"/>
      <c r="B330" s="121"/>
      <c r="C330" s="121"/>
      <c r="D330" s="121"/>
      <c r="E330" s="142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  <c r="AA330" s="121"/>
      <c r="AB330" s="121"/>
      <c r="AC330" s="121"/>
      <c r="AD330" s="121"/>
    </row>
    <row r="331">
      <c r="A331" s="121"/>
      <c r="B331" s="121"/>
      <c r="C331" s="121"/>
      <c r="D331" s="121"/>
      <c r="E331" s="142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  <c r="AA331" s="121"/>
      <c r="AB331" s="121"/>
      <c r="AC331" s="121"/>
      <c r="AD331" s="121"/>
    </row>
    <row r="332">
      <c r="A332" s="121"/>
      <c r="B332" s="121"/>
      <c r="C332" s="121"/>
      <c r="D332" s="121"/>
      <c r="E332" s="142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  <c r="AA332" s="121"/>
      <c r="AB332" s="121"/>
      <c r="AC332" s="121"/>
      <c r="AD332" s="121"/>
    </row>
    <row r="333">
      <c r="A333" s="121"/>
      <c r="B333" s="121"/>
      <c r="C333" s="121"/>
      <c r="D333" s="121"/>
      <c r="E333" s="142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  <c r="AA333" s="121"/>
      <c r="AB333" s="121"/>
      <c r="AC333" s="121"/>
      <c r="AD333" s="121"/>
    </row>
    <row r="334">
      <c r="A334" s="121"/>
      <c r="B334" s="121"/>
      <c r="C334" s="121"/>
      <c r="D334" s="121"/>
      <c r="E334" s="142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  <c r="AA334" s="121"/>
      <c r="AB334" s="121"/>
      <c r="AC334" s="121"/>
      <c r="AD334" s="121"/>
    </row>
    <row r="335">
      <c r="A335" s="121"/>
      <c r="B335" s="121"/>
      <c r="C335" s="121"/>
      <c r="D335" s="121"/>
      <c r="E335" s="142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  <c r="AA335" s="121"/>
      <c r="AB335" s="121"/>
      <c r="AC335" s="121"/>
      <c r="AD335" s="121"/>
    </row>
    <row r="336">
      <c r="A336" s="121"/>
      <c r="B336" s="121"/>
      <c r="C336" s="121"/>
      <c r="D336" s="121"/>
      <c r="E336" s="142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  <c r="AA336" s="121"/>
      <c r="AB336" s="121"/>
      <c r="AC336" s="121"/>
      <c r="AD336" s="121"/>
    </row>
    <row r="337">
      <c r="A337" s="121"/>
      <c r="B337" s="121"/>
      <c r="C337" s="121"/>
      <c r="D337" s="121"/>
      <c r="E337" s="142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  <c r="AA337" s="121"/>
      <c r="AB337" s="121"/>
      <c r="AC337" s="121"/>
      <c r="AD337" s="121"/>
    </row>
    <row r="338">
      <c r="A338" s="121"/>
      <c r="B338" s="121"/>
      <c r="C338" s="121"/>
      <c r="D338" s="121"/>
      <c r="E338" s="142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  <c r="AA338" s="121"/>
      <c r="AB338" s="121"/>
      <c r="AC338" s="121"/>
      <c r="AD338" s="121"/>
    </row>
    <row r="339">
      <c r="A339" s="121"/>
      <c r="B339" s="121"/>
      <c r="C339" s="121"/>
      <c r="D339" s="121"/>
      <c r="E339" s="142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  <c r="AA339" s="121"/>
      <c r="AB339" s="121"/>
      <c r="AC339" s="121"/>
      <c r="AD339" s="121"/>
    </row>
    <row r="340">
      <c r="A340" s="121"/>
      <c r="B340" s="121"/>
      <c r="C340" s="121"/>
      <c r="D340" s="121"/>
      <c r="E340" s="142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  <c r="AA340" s="121"/>
      <c r="AB340" s="121"/>
      <c r="AC340" s="121"/>
      <c r="AD340" s="121"/>
    </row>
    <row r="341">
      <c r="A341" s="121"/>
      <c r="B341" s="121"/>
      <c r="C341" s="121"/>
      <c r="D341" s="121"/>
      <c r="E341" s="142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  <c r="AA341" s="121"/>
      <c r="AB341" s="121"/>
      <c r="AC341" s="121"/>
      <c r="AD341" s="121"/>
    </row>
    <row r="342">
      <c r="A342" s="121"/>
      <c r="B342" s="121"/>
      <c r="C342" s="121"/>
      <c r="D342" s="121"/>
      <c r="E342" s="142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  <c r="AA342" s="121"/>
      <c r="AB342" s="121"/>
      <c r="AC342" s="121"/>
      <c r="AD342" s="121"/>
    </row>
    <row r="343">
      <c r="A343" s="121"/>
      <c r="B343" s="121"/>
      <c r="C343" s="121"/>
      <c r="D343" s="121"/>
      <c r="E343" s="142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  <c r="AA343" s="121"/>
      <c r="AB343" s="121"/>
      <c r="AC343" s="121"/>
      <c r="AD343" s="121"/>
    </row>
    <row r="344">
      <c r="A344" s="121"/>
      <c r="B344" s="121"/>
      <c r="C344" s="121"/>
      <c r="D344" s="121"/>
      <c r="E344" s="142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  <c r="AA344" s="121"/>
      <c r="AB344" s="121"/>
      <c r="AC344" s="121"/>
      <c r="AD344" s="121"/>
    </row>
    <row r="345">
      <c r="A345" s="121"/>
      <c r="B345" s="121"/>
      <c r="C345" s="121"/>
      <c r="D345" s="121"/>
      <c r="E345" s="142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  <c r="AA345" s="121"/>
      <c r="AB345" s="121"/>
      <c r="AC345" s="121"/>
      <c r="AD345" s="121"/>
    </row>
    <row r="346">
      <c r="A346" s="121"/>
      <c r="B346" s="121"/>
      <c r="C346" s="121"/>
      <c r="D346" s="121"/>
      <c r="E346" s="142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  <c r="AA346" s="121"/>
      <c r="AB346" s="121"/>
      <c r="AC346" s="121"/>
      <c r="AD346" s="121"/>
    </row>
    <row r="347">
      <c r="A347" s="121"/>
      <c r="B347" s="121"/>
      <c r="C347" s="121"/>
      <c r="D347" s="121"/>
      <c r="E347" s="142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  <c r="AA347" s="121"/>
      <c r="AB347" s="121"/>
      <c r="AC347" s="121"/>
      <c r="AD347" s="121"/>
    </row>
    <row r="348">
      <c r="A348" s="121"/>
      <c r="B348" s="121"/>
      <c r="C348" s="121"/>
      <c r="D348" s="121"/>
      <c r="E348" s="142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</row>
    <row r="349">
      <c r="A349" s="121"/>
      <c r="B349" s="121"/>
      <c r="C349" s="121"/>
      <c r="D349" s="121"/>
      <c r="E349" s="142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</row>
    <row r="350">
      <c r="A350" s="121"/>
      <c r="B350" s="121"/>
      <c r="C350" s="121"/>
      <c r="D350" s="121"/>
      <c r="E350" s="142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  <c r="AA350" s="121"/>
      <c r="AB350" s="121"/>
      <c r="AC350" s="121"/>
      <c r="AD350" s="121"/>
    </row>
    <row r="351">
      <c r="A351" s="121"/>
      <c r="B351" s="121"/>
      <c r="C351" s="121"/>
      <c r="D351" s="121"/>
      <c r="E351" s="142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</row>
    <row r="352">
      <c r="A352" s="121"/>
      <c r="B352" s="121"/>
      <c r="C352" s="121"/>
      <c r="D352" s="121"/>
      <c r="E352" s="142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</row>
    <row r="353">
      <c r="A353" s="121"/>
      <c r="B353" s="121"/>
      <c r="C353" s="121"/>
      <c r="D353" s="121"/>
      <c r="E353" s="142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</row>
    <row r="354">
      <c r="A354" s="121"/>
      <c r="B354" s="121"/>
      <c r="C354" s="121"/>
      <c r="D354" s="121"/>
      <c r="E354" s="142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</row>
    <row r="355">
      <c r="A355" s="121"/>
      <c r="B355" s="121"/>
      <c r="C355" s="121"/>
      <c r="D355" s="121"/>
      <c r="E355" s="142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</row>
    <row r="356">
      <c r="A356" s="121"/>
      <c r="B356" s="121"/>
      <c r="C356" s="121"/>
      <c r="D356" s="121"/>
      <c r="E356" s="142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</row>
    <row r="357">
      <c r="A357" s="121"/>
      <c r="B357" s="121"/>
      <c r="C357" s="121"/>
      <c r="D357" s="121"/>
      <c r="E357" s="142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</row>
    <row r="358">
      <c r="A358" s="121"/>
      <c r="B358" s="121"/>
      <c r="C358" s="121"/>
      <c r="D358" s="121"/>
      <c r="E358" s="142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</row>
    <row r="359">
      <c r="A359" s="121"/>
      <c r="B359" s="121"/>
      <c r="C359" s="121"/>
      <c r="D359" s="121"/>
      <c r="E359" s="142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</row>
    <row r="360">
      <c r="A360" s="121"/>
      <c r="B360" s="121"/>
      <c r="C360" s="121"/>
      <c r="D360" s="121"/>
      <c r="E360" s="142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</row>
    <row r="361">
      <c r="A361" s="121"/>
      <c r="B361" s="121"/>
      <c r="C361" s="121"/>
      <c r="D361" s="121"/>
      <c r="E361" s="142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</row>
    <row r="362">
      <c r="A362" s="121"/>
      <c r="B362" s="121"/>
      <c r="C362" s="121"/>
      <c r="D362" s="121"/>
      <c r="E362" s="142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  <c r="AA362" s="121"/>
      <c r="AB362" s="121"/>
      <c r="AC362" s="121"/>
      <c r="AD362" s="121"/>
    </row>
    <row r="363">
      <c r="A363" s="121"/>
      <c r="B363" s="121"/>
      <c r="C363" s="121"/>
      <c r="D363" s="121"/>
      <c r="E363" s="142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  <c r="AA363" s="121"/>
      <c r="AB363" s="121"/>
      <c r="AC363" s="121"/>
      <c r="AD363" s="121"/>
    </row>
    <row r="364">
      <c r="A364" s="121"/>
      <c r="B364" s="121"/>
      <c r="C364" s="121"/>
      <c r="D364" s="121"/>
      <c r="E364" s="142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  <c r="AA364" s="121"/>
      <c r="AB364" s="121"/>
      <c r="AC364" s="121"/>
      <c r="AD364" s="121"/>
    </row>
    <row r="365">
      <c r="A365" s="121"/>
      <c r="B365" s="121"/>
      <c r="C365" s="121"/>
      <c r="D365" s="121"/>
      <c r="E365" s="142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  <c r="AA365" s="121"/>
      <c r="AB365" s="121"/>
      <c r="AC365" s="121"/>
      <c r="AD365" s="121"/>
    </row>
    <row r="366">
      <c r="A366" s="121"/>
      <c r="B366" s="121"/>
      <c r="C366" s="121"/>
      <c r="D366" s="121"/>
      <c r="E366" s="142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  <c r="AA366" s="121"/>
      <c r="AB366" s="121"/>
      <c r="AC366" s="121"/>
      <c r="AD366" s="121"/>
    </row>
    <row r="367">
      <c r="A367" s="121"/>
      <c r="B367" s="121"/>
      <c r="C367" s="121"/>
      <c r="D367" s="121"/>
      <c r="E367" s="142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  <c r="AA367" s="121"/>
      <c r="AB367" s="121"/>
      <c r="AC367" s="121"/>
      <c r="AD367" s="121"/>
    </row>
    <row r="368">
      <c r="A368" s="121"/>
      <c r="B368" s="121"/>
      <c r="C368" s="121"/>
      <c r="D368" s="121"/>
      <c r="E368" s="142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  <c r="AA368" s="121"/>
      <c r="AB368" s="121"/>
      <c r="AC368" s="121"/>
      <c r="AD368" s="121"/>
    </row>
    <row r="369">
      <c r="A369" s="121"/>
      <c r="B369" s="121"/>
      <c r="C369" s="121"/>
      <c r="D369" s="121"/>
      <c r="E369" s="142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  <c r="AA369" s="121"/>
      <c r="AB369" s="121"/>
      <c r="AC369" s="121"/>
      <c r="AD369" s="121"/>
    </row>
    <row r="370">
      <c r="A370" s="121"/>
      <c r="B370" s="121"/>
      <c r="C370" s="121"/>
      <c r="D370" s="121"/>
      <c r="E370" s="142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  <c r="AA370" s="121"/>
      <c r="AB370" s="121"/>
      <c r="AC370" s="121"/>
      <c r="AD370" s="121"/>
    </row>
    <row r="371">
      <c r="A371" s="121"/>
      <c r="B371" s="121"/>
      <c r="C371" s="121"/>
      <c r="D371" s="121"/>
      <c r="E371" s="142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  <c r="AA371" s="121"/>
      <c r="AB371" s="121"/>
      <c r="AC371" s="121"/>
      <c r="AD371" s="121"/>
    </row>
    <row r="372">
      <c r="A372" s="121"/>
      <c r="B372" s="121"/>
      <c r="C372" s="121"/>
      <c r="D372" s="121"/>
      <c r="E372" s="142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  <c r="AA372" s="121"/>
      <c r="AB372" s="121"/>
      <c r="AC372" s="121"/>
      <c r="AD372" s="121"/>
    </row>
    <row r="373">
      <c r="A373" s="121"/>
      <c r="B373" s="121"/>
      <c r="C373" s="121"/>
      <c r="D373" s="121"/>
      <c r="E373" s="142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  <c r="AA373" s="121"/>
      <c r="AB373" s="121"/>
      <c r="AC373" s="121"/>
      <c r="AD373" s="121"/>
    </row>
    <row r="374">
      <c r="A374" s="121"/>
      <c r="B374" s="121"/>
      <c r="C374" s="121"/>
      <c r="D374" s="121"/>
      <c r="E374" s="142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  <c r="AA374" s="121"/>
      <c r="AB374" s="121"/>
      <c r="AC374" s="121"/>
      <c r="AD374" s="121"/>
    </row>
    <row r="375">
      <c r="A375" s="121"/>
      <c r="B375" s="121"/>
      <c r="C375" s="121"/>
      <c r="D375" s="121"/>
      <c r="E375" s="142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  <c r="AA375" s="121"/>
      <c r="AB375" s="121"/>
      <c r="AC375" s="121"/>
      <c r="AD375" s="121"/>
    </row>
    <row r="376">
      <c r="A376" s="121"/>
      <c r="B376" s="121"/>
      <c r="C376" s="121"/>
      <c r="D376" s="121"/>
      <c r="E376" s="142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  <c r="AA376" s="121"/>
      <c r="AB376" s="121"/>
      <c r="AC376" s="121"/>
      <c r="AD376" s="121"/>
    </row>
    <row r="377">
      <c r="A377" s="121"/>
      <c r="B377" s="121"/>
      <c r="C377" s="121"/>
      <c r="D377" s="121"/>
      <c r="E377" s="142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  <c r="AA377" s="121"/>
      <c r="AB377" s="121"/>
      <c r="AC377" s="121"/>
      <c r="AD377" s="121"/>
    </row>
    <row r="378">
      <c r="A378" s="121"/>
      <c r="B378" s="121"/>
      <c r="C378" s="121"/>
      <c r="D378" s="121"/>
      <c r="E378" s="142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  <c r="AA378" s="121"/>
      <c r="AB378" s="121"/>
      <c r="AC378" s="121"/>
      <c r="AD378" s="121"/>
    </row>
    <row r="379">
      <c r="A379" s="121"/>
      <c r="B379" s="121"/>
      <c r="C379" s="121"/>
      <c r="D379" s="121"/>
      <c r="E379" s="142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  <c r="AA379" s="121"/>
      <c r="AB379" s="121"/>
      <c r="AC379" s="121"/>
      <c r="AD379" s="121"/>
    </row>
    <row r="380">
      <c r="A380" s="121"/>
      <c r="B380" s="121"/>
      <c r="C380" s="121"/>
      <c r="D380" s="121"/>
      <c r="E380" s="142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  <c r="AA380" s="121"/>
      <c r="AB380" s="121"/>
      <c r="AC380" s="121"/>
      <c r="AD380" s="121"/>
    </row>
    <row r="381">
      <c r="A381" s="121"/>
      <c r="B381" s="121"/>
      <c r="C381" s="121"/>
      <c r="D381" s="121"/>
      <c r="E381" s="142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  <c r="AA381" s="121"/>
      <c r="AB381" s="121"/>
      <c r="AC381" s="121"/>
      <c r="AD381" s="121"/>
    </row>
    <row r="382">
      <c r="A382" s="121"/>
      <c r="B382" s="121"/>
      <c r="C382" s="121"/>
      <c r="D382" s="121"/>
      <c r="E382" s="142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  <c r="AA382" s="121"/>
      <c r="AB382" s="121"/>
      <c r="AC382" s="121"/>
      <c r="AD382" s="121"/>
    </row>
    <row r="383">
      <c r="A383" s="121"/>
      <c r="B383" s="121"/>
      <c r="C383" s="121"/>
      <c r="D383" s="121"/>
      <c r="E383" s="142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  <c r="AA383" s="121"/>
      <c r="AB383" s="121"/>
      <c r="AC383" s="121"/>
      <c r="AD383" s="121"/>
    </row>
    <row r="384">
      <c r="A384" s="121"/>
      <c r="B384" s="121"/>
      <c r="C384" s="121"/>
      <c r="D384" s="121"/>
      <c r="E384" s="142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  <c r="AA384" s="121"/>
      <c r="AB384" s="121"/>
      <c r="AC384" s="121"/>
      <c r="AD384" s="121"/>
    </row>
    <row r="385">
      <c r="A385" s="121"/>
      <c r="B385" s="121"/>
      <c r="C385" s="121"/>
      <c r="D385" s="121"/>
      <c r="E385" s="142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  <c r="AA385" s="121"/>
      <c r="AB385" s="121"/>
      <c r="AC385" s="121"/>
      <c r="AD385" s="121"/>
    </row>
    <row r="386">
      <c r="A386" s="121"/>
      <c r="B386" s="121"/>
      <c r="C386" s="121"/>
      <c r="D386" s="121"/>
      <c r="E386" s="142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</row>
    <row r="387">
      <c r="A387" s="121"/>
      <c r="B387" s="121"/>
      <c r="C387" s="121"/>
      <c r="D387" s="121"/>
      <c r="E387" s="142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</row>
    <row r="388">
      <c r="A388" s="121"/>
      <c r="B388" s="121"/>
      <c r="C388" s="121"/>
      <c r="D388" s="121"/>
      <c r="E388" s="142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  <c r="AA388" s="121"/>
      <c r="AB388" s="121"/>
      <c r="AC388" s="121"/>
      <c r="AD388" s="121"/>
    </row>
    <row r="389">
      <c r="A389" s="121"/>
      <c r="B389" s="121"/>
      <c r="C389" s="121"/>
      <c r="D389" s="121"/>
      <c r="E389" s="142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</row>
    <row r="390">
      <c r="A390" s="121"/>
      <c r="B390" s="121"/>
      <c r="C390" s="121"/>
      <c r="D390" s="121"/>
      <c r="E390" s="142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</row>
    <row r="391">
      <c r="A391" s="121"/>
      <c r="B391" s="121"/>
      <c r="C391" s="121"/>
      <c r="D391" s="121"/>
      <c r="E391" s="142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</row>
    <row r="392">
      <c r="A392" s="121"/>
      <c r="B392" s="121"/>
      <c r="C392" s="121"/>
      <c r="D392" s="121"/>
      <c r="E392" s="142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</row>
    <row r="393">
      <c r="A393" s="121"/>
      <c r="B393" s="121"/>
      <c r="C393" s="121"/>
      <c r="D393" s="121"/>
      <c r="E393" s="142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</row>
    <row r="394">
      <c r="A394" s="121"/>
      <c r="B394" s="121"/>
      <c r="C394" s="121"/>
      <c r="D394" s="121"/>
      <c r="E394" s="142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</row>
    <row r="395">
      <c r="A395" s="121"/>
      <c r="B395" s="121"/>
      <c r="C395" s="121"/>
      <c r="D395" s="121"/>
      <c r="E395" s="142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</row>
    <row r="396">
      <c r="A396" s="121"/>
      <c r="B396" s="121"/>
      <c r="C396" s="121"/>
      <c r="D396" s="121"/>
      <c r="E396" s="142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</row>
    <row r="397">
      <c r="A397" s="121"/>
      <c r="B397" s="121"/>
      <c r="C397" s="121"/>
      <c r="D397" s="121"/>
      <c r="E397" s="142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</row>
    <row r="398">
      <c r="A398" s="121"/>
      <c r="B398" s="121"/>
      <c r="C398" s="121"/>
      <c r="D398" s="121"/>
      <c r="E398" s="142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</row>
    <row r="399">
      <c r="A399" s="121"/>
      <c r="B399" s="121"/>
      <c r="C399" s="121"/>
      <c r="D399" s="121"/>
      <c r="E399" s="142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</row>
    <row r="400">
      <c r="A400" s="121"/>
      <c r="B400" s="121"/>
      <c r="C400" s="121"/>
      <c r="D400" s="121"/>
      <c r="E400" s="142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  <c r="AA400" s="121"/>
      <c r="AB400" s="121"/>
      <c r="AC400" s="121"/>
      <c r="AD400" s="121"/>
    </row>
    <row r="401">
      <c r="A401" s="121"/>
      <c r="B401" s="121"/>
      <c r="C401" s="121"/>
      <c r="D401" s="121"/>
      <c r="E401" s="142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  <c r="AA401" s="121"/>
      <c r="AB401" s="121"/>
      <c r="AC401" s="121"/>
      <c r="AD401" s="121"/>
    </row>
    <row r="402">
      <c r="A402" s="121"/>
      <c r="B402" s="121"/>
      <c r="C402" s="121"/>
      <c r="D402" s="121"/>
      <c r="E402" s="142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  <c r="AA402" s="121"/>
      <c r="AB402" s="121"/>
      <c r="AC402" s="121"/>
      <c r="AD402" s="121"/>
    </row>
    <row r="403">
      <c r="A403" s="121"/>
      <c r="B403" s="121"/>
      <c r="C403" s="121"/>
      <c r="D403" s="121"/>
      <c r="E403" s="142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  <c r="AA403" s="121"/>
      <c r="AB403" s="121"/>
      <c r="AC403" s="121"/>
      <c r="AD403" s="121"/>
    </row>
    <row r="404">
      <c r="A404" s="121"/>
      <c r="B404" s="121"/>
      <c r="C404" s="121"/>
      <c r="D404" s="121"/>
      <c r="E404" s="142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  <c r="AA404" s="121"/>
      <c r="AB404" s="121"/>
      <c r="AC404" s="121"/>
      <c r="AD404" s="121"/>
    </row>
    <row r="405">
      <c r="A405" s="121"/>
      <c r="B405" s="121"/>
      <c r="C405" s="121"/>
      <c r="D405" s="121"/>
      <c r="E405" s="142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  <c r="AA405" s="121"/>
      <c r="AB405" s="121"/>
      <c r="AC405" s="121"/>
      <c r="AD405" s="121"/>
    </row>
    <row r="406">
      <c r="A406" s="121"/>
      <c r="B406" s="121"/>
      <c r="C406" s="121"/>
      <c r="D406" s="121"/>
      <c r="E406" s="142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  <c r="AA406" s="121"/>
      <c r="AB406" s="121"/>
      <c r="AC406" s="121"/>
      <c r="AD406" s="121"/>
    </row>
    <row r="407">
      <c r="A407" s="121"/>
      <c r="B407" s="121"/>
      <c r="C407" s="121"/>
      <c r="D407" s="121"/>
      <c r="E407" s="142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  <c r="AA407" s="121"/>
      <c r="AB407" s="121"/>
      <c r="AC407" s="121"/>
      <c r="AD407" s="121"/>
    </row>
    <row r="408">
      <c r="A408" s="121"/>
      <c r="B408" s="121"/>
      <c r="C408" s="121"/>
      <c r="D408" s="121"/>
      <c r="E408" s="142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  <c r="AA408" s="121"/>
      <c r="AB408" s="121"/>
      <c r="AC408" s="121"/>
      <c r="AD408" s="121"/>
    </row>
    <row r="409">
      <c r="A409" s="121"/>
      <c r="B409" s="121"/>
      <c r="C409" s="121"/>
      <c r="D409" s="121"/>
      <c r="E409" s="142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  <c r="AA409" s="121"/>
      <c r="AB409" s="121"/>
      <c r="AC409" s="121"/>
      <c r="AD409" s="121"/>
    </row>
    <row r="410">
      <c r="A410" s="121"/>
      <c r="B410" s="121"/>
      <c r="C410" s="121"/>
      <c r="D410" s="121"/>
      <c r="E410" s="142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  <c r="AA410" s="121"/>
      <c r="AB410" s="121"/>
      <c r="AC410" s="121"/>
      <c r="AD410" s="121"/>
    </row>
    <row r="411">
      <c r="A411" s="121"/>
      <c r="B411" s="121"/>
      <c r="C411" s="121"/>
      <c r="D411" s="121"/>
      <c r="E411" s="142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  <c r="AA411" s="121"/>
      <c r="AB411" s="121"/>
      <c r="AC411" s="121"/>
      <c r="AD411" s="121"/>
    </row>
    <row r="412">
      <c r="A412" s="121"/>
      <c r="B412" s="121"/>
      <c r="C412" s="121"/>
      <c r="D412" s="121"/>
      <c r="E412" s="142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  <c r="AA412" s="121"/>
      <c r="AB412" s="121"/>
      <c r="AC412" s="121"/>
      <c r="AD412" s="121"/>
    </row>
    <row r="413">
      <c r="A413" s="121"/>
      <c r="B413" s="121"/>
      <c r="C413" s="121"/>
      <c r="D413" s="121"/>
      <c r="E413" s="142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  <c r="AA413" s="121"/>
      <c r="AB413" s="121"/>
      <c r="AC413" s="121"/>
      <c r="AD413" s="121"/>
    </row>
    <row r="414">
      <c r="A414" s="121"/>
      <c r="B414" s="121"/>
      <c r="C414" s="121"/>
      <c r="D414" s="121"/>
      <c r="E414" s="142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  <c r="AA414" s="121"/>
      <c r="AB414" s="121"/>
      <c r="AC414" s="121"/>
      <c r="AD414" s="121"/>
    </row>
    <row r="415">
      <c r="A415" s="121"/>
      <c r="B415" s="121"/>
      <c r="C415" s="121"/>
      <c r="D415" s="121"/>
      <c r="E415" s="142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  <c r="AA415" s="121"/>
      <c r="AB415" s="121"/>
      <c r="AC415" s="121"/>
      <c r="AD415" s="121"/>
    </row>
    <row r="416">
      <c r="A416" s="121"/>
      <c r="B416" s="121"/>
      <c r="C416" s="121"/>
      <c r="D416" s="121"/>
      <c r="E416" s="142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  <c r="AA416" s="121"/>
      <c r="AB416" s="121"/>
      <c r="AC416" s="121"/>
      <c r="AD416" s="121"/>
    </row>
    <row r="417">
      <c r="A417" s="121"/>
      <c r="B417" s="121"/>
      <c r="C417" s="121"/>
      <c r="D417" s="121"/>
      <c r="E417" s="142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  <c r="AA417" s="121"/>
      <c r="AB417" s="121"/>
      <c r="AC417" s="121"/>
      <c r="AD417" s="121"/>
    </row>
    <row r="418">
      <c r="A418" s="121"/>
      <c r="B418" s="121"/>
      <c r="C418" s="121"/>
      <c r="D418" s="121"/>
      <c r="E418" s="142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  <c r="AA418" s="121"/>
      <c r="AB418" s="121"/>
      <c r="AC418" s="121"/>
      <c r="AD418" s="121"/>
    </row>
    <row r="419">
      <c r="A419" s="121"/>
      <c r="B419" s="121"/>
      <c r="C419" s="121"/>
      <c r="D419" s="121"/>
      <c r="E419" s="142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  <c r="AA419" s="121"/>
      <c r="AB419" s="121"/>
      <c r="AC419" s="121"/>
      <c r="AD419" s="121"/>
    </row>
    <row r="420">
      <c r="A420" s="121"/>
      <c r="B420" s="121"/>
      <c r="C420" s="121"/>
      <c r="D420" s="121"/>
      <c r="E420" s="142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  <c r="AA420" s="121"/>
      <c r="AB420" s="121"/>
      <c r="AC420" s="121"/>
      <c r="AD420" s="121"/>
    </row>
    <row r="421">
      <c r="A421" s="121"/>
      <c r="B421" s="121"/>
      <c r="C421" s="121"/>
      <c r="D421" s="121"/>
      <c r="E421" s="142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  <c r="AA421" s="121"/>
      <c r="AB421" s="121"/>
      <c r="AC421" s="121"/>
      <c r="AD421" s="121"/>
    </row>
    <row r="422">
      <c r="A422" s="121"/>
      <c r="B422" s="121"/>
      <c r="C422" s="121"/>
      <c r="D422" s="121"/>
      <c r="E422" s="142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  <c r="AA422" s="121"/>
      <c r="AB422" s="121"/>
      <c r="AC422" s="121"/>
      <c r="AD422" s="121"/>
    </row>
    <row r="423">
      <c r="A423" s="121"/>
      <c r="B423" s="121"/>
      <c r="C423" s="121"/>
      <c r="D423" s="121"/>
      <c r="E423" s="142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  <c r="AA423" s="121"/>
      <c r="AB423" s="121"/>
      <c r="AC423" s="121"/>
      <c r="AD423" s="121"/>
    </row>
    <row r="424">
      <c r="A424" s="121"/>
      <c r="B424" s="121"/>
      <c r="C424" s="121"/>
      <c r="D424" s="121"/>
      <c r="E424" s="142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</row>
    <row r="425">
      <c r="A425" s="121"/>
      <c r="B425" s="121"/>
      <c r="C425" s="121"/>
      <c r="D425" s="121"/>
      <c r="E425" s="142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</row>
    <row r="426">
      <c r="A426" s="121"/>
      <c r="B426" s="121"/>
      <c r="C426" s="121"/>
      <c r="D426" s="121"/>
      <c r="E426" s="142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  <c r="AA426" s="121"/>
      <c r="AB426" s="121"/>
      <c r="AC426" s="121"/>
      <c r="AD426" s="121"/>
    </row>
    <row r="427">
      <c r="A427" s="121"/>
      <c r="B427" s="121"/>
      <c r="C427" s="121"/>
      <c r="D427" s="121"/>
      <c r="E427" s="142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</row>
    <row r="428">
      <c r="A428" s="121"/>
      <c r="B428" s="121"/>
      <c r="C428" s="121"/>
      <c r="D428" s="121"/>
      <c r="E428" s="142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</row>
    <row r="429">
      <c r="A429" s="121"/>
      <c r="B429" s="121"/>
      <c r="C429" s="121"/>
      <c r="D429" s="121"/>
      <c r="E429" s="142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</row>
    <row r="430">
      <c r="A430" s="121"/>
      <c r="B430" s="121"/>
      <c r="C430" s="121"/>
      <c r="D430" s="121"/>
      <c r="E430" s="142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</row>
    <row r="431">
      <c r="A431" s="121"/>
      <c r="B431" s="121"/>
      <c r="C431" s="121"/>
      <c r="D431" s="121"/>
      <c r="E431" s="142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</row>
    <row r="432">
      <c r="A432" s="121"/>
      <c r="B432" s="121"/>
      <c r="C432" s="121"/>
      <c r="D432" s="121"/>
      <c r="E432" s="142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</row>
    <row r="433">
      <c r="A433" s="121"/>
      <c r="B433" s="121"/>
      <c r="C433" s="121"/>
      <c r="D433" s="121"/>
      <c r="E433" s="142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</row>
    <row r="434">
      <c r="A434" s="121"/>
      <c r="B434" s="121"/>
      <c r="C434" s="121"/>
      <c r="D434" s="121"/>
      <c r="E434" s="142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</row>
    <row r="435">
      <c r="A435" s="121"/>
      <c r="B435" s="121"/>
      <c r="C435" s="121"/>
      <c r="D435" s="121"/>
      <c r="E435" s="142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</row>
    <row r="436">
      <c r="A436" s="121"/>
      <c r="B436" s="121"/>
      <c r="C436" s="121"/>
      <c r="D436" s="121"/>
      <c r="E436" s="142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</row>
    <row r="437">
      <c r="A437" s="121"/>
      <c r="B437" s="121"/>
      <c r="C437" s="121"/>
      <c r="D437" s="121"/>
      <c r="E437" s="142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</row>
    <row r="438">
      <c r="A438" s="121"/>
      <c r="B438" s="121"/>
      <c r="C438" s="121"/>
      <c r="D438" s="121"/>
      <c r="E438" s="142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  <c r="AA438" s="121"/>
      <c r="AB438" s="121"/>
      <c r="AC438" s="121"/>
      <c r="AD438" s="121"/>
    </row>
    <row r="439">
      <c r="A439" s="121"/>
      <c r="B439" s="121"/>
      <c r="C439" s="121"/>
      <c r="D439" s="121"/>
      <c r="E439" s="142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  <c r="AA439" s="121"/>
      <c r="AB439" s="121"/>
      <c r="AC439" s="121"/>
      <c r="AD439" s="121"/>
    </row>
    <row r="440">
      <c r="A440" s="121"/>
      <c r="B440" s="121"/>
      <c r="C440" s="121"/>
      <c r="D440" s="121"/>
      <c r="E440" s="142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  <c r="AA440" s="121"/>
      <c r="AB440" s="121"/>
      <c r="AC440" s="121"/>
      <c r="AD440" s="121"/>
    </row>
    <row r="441">
      <c r="A441" s="121"/>
      <c r="B441" s="121"/>
      <c r="C441" s="121"/>
      <c r="D441" s="121"/>
      <c r="E441" s="142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  <c r="AA441" s="121"/>
      <c r="AB441" s="121"/>
      <c r="AC441" s="121"/>
      <c r="AD441" s="121"/>
    </row>
    <row r="442">
      <c r="A442" s="121"/>
      <c r="B442" s="121"/>
      <c r="C442" s="121"/>
      <c r="D442" s="121"/>
      <c r="E442" s="142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  <c r="AA442" s="121"/>
      <c r="AB442" s="121"/>
      <c r="AC442" s="121"/>
      <c r="AD442" s="121"/>
    </row>
    <row r="443">
      <c r="A443" s="121"/>
      <c r="B443" s="121"/>
      <c r="C443" s="121"/>
      <c r="D443" s="121"/>
      <c r="E443" s="142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  <c r="AA443" s="121"/>
      <c r="AB443" s="121"/>
      <c r="AC443" s="121"/>
      <c r="AD443" s="121"/>
    </row>
    <row r="444">
      <c r="A444" s="121"/>
      <c r="B444" s="121"/>
      <c r="C444" s="121"/>
      <c r="D444" s="121"/>
      <c r="E444" s="142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  <c r="AA444" s="121"/>
      <c r="AB444" s="121"/>
      <c r="AC444" s="121"/>
      <c r="AD444" s="121"/>
    </row>
    <row r="445">
      <c r="A445" s="121"/>
      <c r="B445" s="121"/>
      <c r="C445" s="121"/>
      <c r="D445" s="121"/>
      <c r="E445" s="142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  <c r="AA445" s="121"/>
      <c r="AB445" s="121"/>
      <c r="AC445" s="121"/>
      <c r="AD445" s="121"/>
    </row>
    <row r="446">
      <c r="A446" s="121"/>
      <c r="B446" s="121"/>
      <c r="C446" s="121"/>
      <c r="D446" s="121"/>
      <c r="E446" s="142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  <c r="AA446" s="121"/>
      <c r="AB446" s="121"/>
      <c r="AC446" s="121"/>
      <c r="AD446" s="121"/>
    </row>
    <row r="447">
      <c r="A447" s="121"/>
      <c r="B447" s="121"/>
      <c r="C447" s="121"/>
      <c r="D447" s="121"/>
      <c r="E447" s="142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  <c r="AA447" s="121"/>
      <c r="AB447" s="121"/>
      <c r="AC447" s="121"/>
      <c r="AD447" s="121"/>
    </row>
    <row r="448">
      <c r="A448" s="121"/>
      <c r="B448" s="121"/>
      <c r="C448" s="121"/>
      <c r="D448" s="121"/>
      <c r="E448" s="142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  <c r="AA448" s="121"/>
      <c r="AB448" s="121"/>
      <c r="AC448" s="121"/>
      <c r="AD448" s="121"/>
    </row>
    <row r="449">
      <c r="A449" s="121"/>
      <c r="B449" s="121"/>
      <c r="C449" s="121"/>
      <c r="D449" s="121"/>
      <c r="E449" s="142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  <c r="AA449" s="121"/>
      <c r="AB449" s="121"/>
      <c r="AC449" s="121"/>
      <c r="AD449" s="121"/>
    </row>
    <row r="450">
      <c r="A450" s="121"/>
      <c r="B450" s="121"/>
      <c r="C450" s="121"/>
      <c r="D450" s="121"/>
      <c r="E450" s="142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  <c r="AA450" s="121"/>
      <c r="AB450" s="121"/>
      <c r="AC450" s="121"/>
      <c r="AD450" s="121"/>
    </row>
    <row r="451">
      <c r="A451" s="121"/>
      <c r="B451" s="121"/>
      <c r="C451" s="121"/>
      <c r="D451" s="121"/>
      <c r="E451" s="142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  <c r="AA451" s="121"/>
      <c r="AB451" s="121"/>
      <c r="AC451" s="121"/>
      <c r="AD451" s="121"/>
    </row>
    <row r="452">
      <c r="A452" s="121"/>
      <c r="B452" s="121"/>
      <c r="C452" s="121"/>
      <c r="D452" s="121"/>
      <c r="E452" s="142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  <c r="AA452" s="121"/>
      <c r="AB452" s="121"/>
      <c r="AC452" s="121"/>
      <c r="AD452" s="121"/>
    </row>
    <row r="453">
      <c r="A453" s="121"/>
      <c r="B453" s="121"/>
      <c r="C453" s="121"/>
      <c r="D453" s="121"/>
      <c r="E453" s="142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  <c r="AA453" s="121"/>
      <c r="AB453" s="121"/>
      <c r="AC453" s="121"/>
      <c r="AD453" s="121"/>
    </row>
    <row r="454">
      <c r="A454" s="121"/>
      <c r="B454" s="121"/>
      <c r="C454" s="121"/>
      <c r="D454" s="121"/>
      <c r="E454" s="142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  <c r="AA454" s="121"/>
      <c r="AB454" s="121"/>
      <c r="AC454" s="121"/>
      <c r="AD454" s="121"/>
    </row>
    <row r="455">
      <c r="A455" s="121"/>
      <c r="B455" s="121"/>
      <c r="C455" s="121"/>
      <c r="D455" s="121"/>
      <c r="E455" s="142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  <c r="AA455" s="121"/>
      <c r="AB455" s="121"/>
      <c r="AC455" s="121"/>
      <c r="AD455" s="121"/>
    </row>
    <row r="456">
      <c r="A456" s="121"/>
      <c r="B456" s="121"/>
      <c r="C456" s="121"/>
      <c r="D456" s="121"/>
      <c r="E456" s="142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  <c r="AA456" s="121"/>
      <c r="AB456" s="121"/>
      <c r="AC456" s="121"/>
      <c r="AD456" s="121"/>
    </row>
    <row r="457">
      <c r="A457" s="121"/>
      <c r="B457" s="121"/>
      <c r="C457" s="121"/>
      <c r="D457" s="121"/>
      <c r="E457" s="142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  <c r="AA457" s="121"/>
      <c r="AB457" s="121"/>
      <c r="AC457" s="121"/>
      <c r="AD457" s="121"/>
    </row>
    <row r="458">
      <c r="A458" s="121"/>
      <c r="B458" s="121"/>
      <c r="C458" s="121"/>
      <c r="D458" s="121"/>
      <c r="E458" s="142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  <c r="AA458" s="121"/>
      <c r="AB458" s="121"/>
      <c r="AC458" s="121"/>
      <c r="AD458" s="121"/>
    </row>
    <row r="459">
      <c r="A459" s="121"/>
      <c r="B459" s="121"/>
      <c r="C459" s="121"/>
      <c r="D459" s="121"/>
      <c r="E459" s="142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  <c r="AA459" s="121"/>
      <c r="AB459" s="121"/>
      <c r="AC459" s="121"/>
      <c r="AD459" s="121"/>
    </row>
    <row r="460">
      <c r="A460" s="121"/>
      <c r="B460" s="121"/>
      <c r="C460" s="121"/>
      <c r="D460" s="121"/>
      <c r="E460" s="142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  <c r="AA460" s="121"/>
      <c r="AB460" s="121"/>
      <c r="AC460" s="121"/>
      <c r="AD460" s="121"/>
    </row>
    <row r="461">
      <c r="A461" s="121"/>
      <c r="B461" s="121"/>
      <c r="C461" s="121"/>
      <c r="D461" s="121"/>
      <c r="E461" s="142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  <c r="AA461" s="121"/>
      <c r="AB461" s="121"/>
      <c r="AC461" s="121"/>
      <c r="AD461" s="121"/>
    </row>
    <row r="462">
      <c r="A462" s="121"/>
      <c r="B462" s="121"/>
      <c r="C462" s="121"/>
      <c r="D462" s="121"/>
      <c r="E462" s="142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</row>
    <row r="463">
      <c r="A463" s="121"/>
      <c r="B463" s="121"/>
      <c r="C463" s="121"/>
      <c r="D463" s="121"/>
      <c r="E463" s="142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</row>
    <row r="464">
      <c r="A464" s="121"/>
      <c r="B464" s="121"/>
      <c r="C464" s="121"/>
      <c r="D464" s="121"/>
      <c r="E464" s="142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  <c r="AA464" s="121"/>
      <c r="AB464" s="121"/>
      <c r="AC464" s="121"/>
      <c r="AD464" s="121"/>
    </row>
    <row r="465">
      <c r="A465" s="121"/>
      <c r="B465" s="121"/>
      <c r="C465" s="121"/>
      <c r="D465" s="121"/>
      <c r="E465" s="142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</row>
    <row r="466">
      <c r="A466" s="121"/>
      <c r="B466" s="121"/>
      <c r="C466" s="121"/>
      <c r="D466" s="121"/>
      <c r="E466" s="142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</row>
    <row r="467">
      <c r="A467" s="121"/>
      <c r="B467" s="121"/>
      <c r="C467" s="121"/>
      <c r="D467" s="121"/>
      <c r="E467" s="142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</row>
    <row r="468">
      <c r="A468" s="121"/>
      <c r="B468" s="121"/>
      <c r="C468" s="121"/>
      <c r="D468" s="121"/>
      <c r="E468" s="142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</row>
    <row r="469">
      <c r="A469" s="121"/>
      <c r="B469" s="121"/>
      <c r="C469" s="121"/>
      <c r="D469" s="121"/>
      <c r="E469" s="142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</row>
    <row r="470">
      <c r="A470" s="121"/>
      <c r="B470" s="121"/>
      <c r="C470" s="121"/>
      <c r="D470" s="121"/>
      <c r="E470" s="142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</row>
    <row r="471">
      <c r="A471" s="121"/>
      <c r="B471" s="121"/>
      <c r="C471" s="121"/>
      <c r="D471" s="121"/>
      <c r="E471" s="142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</row>
    <row r="472">
      <c r="A472" s="121"/>
      <c r="B472" s="121"/>
      <c r="C472" s="121"/>
      <c r="D472" s="121"/>
      <c r="E472" s="142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</row>
    <row r="473">
      <c r="A473" s="121"/>
      <c r="B473" s="121"/>
      <c r="C473" s="121"/>
      <c r="D473" s="121"/>
      <c r="E473" s="142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</row>
    <row r="474">
      <c r="A474" s="121"/>
      <c r="B474" s="121"/>
      <c r="C474" s="121"/>
      <c r="D474" s="121"/>
      <c r="E474" s="142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</row>
    <row r="475">
      <c r="A475" s="121"/>
      <c r="B475" s="121"/>
      <c r="C475" s="121"/>
      <c r="D475" s="121"/>
      <c r="E475" s="142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</row>
    <row r="476">
      <c r="A476" s="121"/>
      <c r="B476" s="121"/>
      <c r="C476" s="121"/>
      <c r="D476" s="121"/>
      <c r="E476" s="142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  <c r="AA476" s="121"/>
      <c r="AB476" s="121"/>
      <c r="AC476" s="121"/>
      <c r="AD476" s="121"/>
    </row>
    <row r="477">
      <c r="A477" s="121"/>
      <c r="B477" s="121"/>
      <c r="C477" s="121"/>
      <c r="D477" s="121"/>
      <c r="E477" s="142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  <c r="AA477" s="121"/>
      <c r="AB477" s="121"/>
      <c r="AC477" s="121"/>
      <c r="AD477" s="121"/>
    </row>
    <row r="478">
      <c r="A478" s="121"/>
      <c r="B478" s="121"/>
      <c r="C478" s="121"/>
      <c r="D478" s="121"/>
      <c r="E478" s="142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  <c r="AA478" s="121"/>
      <c r="AB478" s="121"/>
      <c r="AC478" s="121"/>
      <c r="AD478" s="121"/>
    </row>
    <row r="479">
      <c r="A479" s="121"/>
      <c r="B479" s="121"/>
      <c r="C479" s="121"/>
      <c r="D479" s="121"/>
      <c r="E479" s="142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  <c r="AA479" s="121"/>
      <c r="AB479" s="121"/>
      <c r="AC479" s="121"/>
      <c r="AD479" s="121"/>
    </row>
    <row r="480">
      <c r="A480" s="121"/>
      <c r="B480" s="121"/>
      <c r="C480" s="121"/>
      <c r="D480" s="121"/>
      <c r="E480" s="142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  <c r="AA480" s="121"/>
      <c r="AB480" s="121"/>
      <c r="AC480" s="121"/>
      <c r="AD480" s="121"/>
    </row>
    <row r="481">
      <c r="A481" s="121"/>
      <c r="B481" s="121"/>
      <c r="C481" s="121"/>
      <c r="D481" s="121"/>
      <c r="E481" s="142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  <c r="AA481" s="121"/>
      <c r="AB481" s="121"/>
      <c r="AC481" s="121"/>
      <c r="AD481" s="121"/>
    </row>
    <row r="482">
      <c r="A482" s="121"/>
      <c r="B482" s="121"/>
      <c r="C482" s="121"/>
      <c r="D482" s="121"/>
      <c r="E482" s="142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  <c r="AA482" s="121"/>
      <c r="AB482" s="121"/>
      <c r="AC482" s="121"/>
      <c r="AD482" s="121"/>
    </row>
    <row r="483">
      <c r="A483" s="121"/>
      <c r="B483" s="121"/>
      <c r="C483" s="121"/>
      <c r="D483" s="121"/>
      <c r="E483" s="142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  <c r="AA483" s="121"/>
      <c r="AB483" s="121"/>
      <c r="AC483" s="121"/>
      <c r="AD483" s="121"/>
    </row>
    <row r="484">
      <c r="A484" s="121"/>
      <c r="B484" s="121"/>
      <c r="C484" s="121"/>
      <c r="D484" s="121"/>
      <c r="E484" s="142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  <c r="AA484" s="121"/>
      <c r="AB484" s="121"/>
      <c r="AC484" s="121"/>
      <c r="AD484" s="121"/>
    </row>
    <row r="485">
      <c r="A485" s="121"/>
      <c r="B485" s="121"/>
      <c r="C485" s="121"/>
      <c r="D485" s="121"/>
      <c r="E485" s="142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  <c r="AA485" s="121"/>
      <c r="AB485" s="121"/>
      <c r="AC485" s="121"/>
      <c r="AD485" s="121"/>
    </row>
    <row r="486">
      <c r="A486" s="121"/>
      <c r="B486" s="121"/>
      <c r="C486" s="121"/>
      <c r="D486" s="121"/>
      <c r="E486" s="142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  <c r="AA486" s="121"/>
      <c r="AB486" s="121"/>
      <c r="AC486" s="121"/>
      <c r="AD486" s="121"/>
    </row>
    <row r="487">
      <c r="A487" s="121"/>
      <c r="B487" s="121"/>
      <c r="C487" s="121"/>
      <c r="D487" s="121"/>
      <c r="E487" s="142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  <c r="AA487" s="121"/>
      <c r="AB487" s="121"/>
      <c r="AC487" s="121"/>
      <c r="AD487" s="121"/>
    </row>
    <row r="488">
      <c r="A488" s="121"/>
      <c r="B488" s="121"/>
      <c r="C488" s="121"/>
      <c r="D488" s="121"/>
      <c r="E488" s="142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  <c r="AA488" s="121"/>
      <c r="AB488" s="121"/>
      <c r="AC488" s="121"/>
      <c r="AD488" s="121"/>
    </row>
    <row r="489">
      <c r="A489" s="121"/>
      <c r="B489" s="121"/>
      <c r="C489" s="121"/>
      <c r="D489" s="121"/>
      <c r="E489" s="142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  <c r="AA489" s="121"/>
      <c r="AB489" s="121"/>
      <c r="AC489" s="121"/>
      <c r="AD489" s="121"/>
    </row>
    <row r="490">
      <c r="A490" s="121"/>
      <c r="B490" s="121"/>
      <c r="C490" s="121"/>
      <c r="D490" s="121"/>
      <c r="E490" s="142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  <c r="AA490" s="121"/>
      <c r="AB490" s="121"/>
      <c r="AC490" s="121"/>
      <c r="AD490" s="121"/>
    </row>
    <row r="491">
      <c r="A491" s="121"/>
      <c r="B491" s="121"/>
      <c r="C491" s="121"/>
      <c r="D491" s="121"/>
      <c r="E491" s="142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  <c r="AA491" s="121"/>
      <c r="AB491" s="121"/>
      <c r="AC491" s="121"/>
      <c r="AD491" s="121"/>
    </row>
    <row r="492">
      <c r="A492" s="121"/>
      <c r="B492" s="121"/>
      <c r="C492" s="121"/>
      <c r="D492" s="121"/>
      <c r="E492" s="142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  <c r="AA492" s="121"/>
      <c r="AB492" s="121"/>
      <c r="AC492" s="121"/>
      <c r="AD492" s="121"/>
    </row>
    <row r="493">
      <c r="A493" s="121"/>
      <c r="B493" s="121"/>
      <c r="C493" s="121"/>
      <c r="D493" s="121"/>
      <c r="E493" s="142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  <c r="AA493" s="121"/>
      <c r="AB493" s="121"/>
      <c r="AC493" s="121"/>
      <c r="AD493" s="121"/>
    </row>
    <row r="494">
      <c r="A494" s="121"/>
      <c r="B494" s="121"/>
      <c r="C494" s="121"/>
      <c r="D494" s="121"/>
      <c r="E494" s="142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  <c r="AA494" s="121"/>
      <c r="AB494" s="121"/>
      <c r="AC494" s="121"/>
      <c r="AD494" s="121"/>
    </row>
    <row r="495">
      <c r="A495" s="121"/>
      <c r="B495" s="121"/>
      <c r="C495" s="121"/>
      <c r="D495" s="121"/>
      <c r="E495" s="142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  <c r="AA495" s="121"/>
      <c r="AB495" s="121"/>
      <c r="AC495" s="121"/>
      <c r="AD495" s="121"/>
    </row>
    <row r="496">
      <c r="A496" s="121"/>
      <c r="B496" s="121"/>
      <c r="C496" s="121"/>
      <c r="D496" s="121"/>
      <c r="E496" s="142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  <c r="AA496" s="121"/>
      <c r="AB496" s="121"/>
      <c r="AC496" s="121"/>
      <c r="AD496" s="121"/>
    </row>
    <row r="497">
      <c r="A497" s="121"/>
      <c r="B497" s="121"/>
      <c r="C497" s="121"/>
      <c r="D497" s="121"/>
      <c r="E497" s="142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  <c r="AA497" s="121"/>
      <c r="AB497" s="121"/>
      <c r="AC497" s="121"/>
      <c r="AD497" s="121"/>
    </row>
    <row r="498">
      <c r="A498" s="121"/>
      <c r="B498" s="121"/>
      <c r="C498" s="121"/>
      <c r="D498" s="121"/>
      <c r="E498" s="142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  <c r="AA498" s="121"/>
      <c r="AB498" s="121"/>
      <c r="AC498" s="121"/>
      <c r="AD498" s="121"/>
    </row>
    <row r="499">
      <c r="A499" s="121"/>
      <c r="B499" s="121"/>
      <c r="C499" s="121"/>
      <c r="D499" s="121"/>
      <c r="E499" s="142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  <c r="AA499" s="121"/>
      <c r="AB499" s="121"/>
      <c r="AC499" s="121"/>
      <c r="AD499" s="121"/>
    </row>
    <row r="500">
      <c r="A500" s="121"/>
      <c r="B500" s="121"/>
      <c r="C500" s="121"/>
      <c r="D500" s="121"/>
      <c r="E500" s="142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</row>
    <row r="501">
      <c r="A501" s="121"/>
      <c r="B501" s="121"/>
      <c r="C501" s="121"/>
      <c r="D501" s="121"/>
      <c r="E501" s="142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</row>
    <row r="502">
      <c r="A502" s="121"/>
      <c r="B502" s="121"/>
      <c r="C502" s="121"/>
      <c r="D502" s="121"/>
      <c r="E502" s="142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  <c r="AA502" s="121"/>
      <c r="AB502" s="121"/>
      <c r="AC502" s="121"/>
      <c r="AD502" s="121"/>
    </row>
    <row r="503">
      <c r="A503" s="121"/>
      <c r="B503" s="121"/>
      <c r="C503" s="121"/>
      <c r="D503" s="121"/>
      <c r="E503" s="142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</row>
    <row r="504">
      <c r="A504" s="121"/>
      <c r="B504" s="121"/>
      <c r="C504" s="121"/>
      <c r="D504" s="121"/>
      <c r="E504" s="142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</row>
    <row r="505">
      <c r="A505" s="121"/>
      <c r="B505" s="121"/>
      <c r="C505" s="121"/>
      <c r="D505" s="121"/>
      <c r="E505" s="142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</row>
    <row r="506">
      <c r="A506" s="121"/>
      <c r="B506" s="121"/>
      <c r="C506" s="121"/>
      <c r="D506" s="121"/>
      <c r="E506" s="142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</row>
    <row r="507">
      <c r="A507" s="121"/>
      <c r="B507" s="121"/>
      <c r="C507" s="121"/>
      <c r="D507" s="121"/>
      <c r="E507" s="142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</row>
    <row r="508">
      <c r="A508" s="121"/>
      <c r="B508" s="121"/>
      <c r="C508" s="121"/>
      <c r="D508" s="121"/>
      <c r="E508" s="142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</row>
    <row r="509">
      <c r="A509" s="121"/>
      <c r="B509" s="121"/>
      <c r="C509" s="121"/>
      <c r="D509" s="121"/>
      <c r="E509" s="142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</row>
    <row r="510">
      <c r="A510" s="121"/>
      <c r="B510" s="121"/>
      <c r="C510" s="121"/>
      <c r="D510" s="121"/>
      <c r="E510" s="142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</row>
    <row r="511">
      <c r="A511" s="121"/>
      <c r="B511" s="121"/>
      <c r="C511" s="121"/>
      <c r="D511" s="121"/>
      <c r="E511" s="142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</row>
    <row r="512">
      <c r="A512" s="121"/>
      <c r="B512" s="121"/>
      <c r="C512" s="121"/>
      <c r="D512" s="121"/>
      <c r="E512" s="142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</row>
    <row r="513">
      <c r="A513" s="121"/>
      <c r="B513" s="121"/>
      <c r="C513" s="121"/>
      <c r="D513" s="121"/>
      <c r="E513" s="142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</row>
    <row r="514">
      <c r="A514" s="121"/>
      <c r="B514" s="121"/>
      <c r="C514" s="121"/>
      <c r="D514" s="121"/>
      <c r="E514" s="142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  <c r="AA514" s="121"/>
      <c r="AB514" s="121"/>
      <c r="AC514" s="121"/>
      <c r="AD514" s="121"/>
    </row>
    <row r="515">
      <c r="A515" s="121"/>
      <c r="B515" s="121"/>
      <c r="C515" s="121"/>
      <c r="D515" s="121"/>
      <c r="E515" s="142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  <c r="AA515" s="121"/>
      <c r="AB515" s="121"/>
      <c r="AC515" s="121"/>
      <c r="AD515" s="121"/>
    </row>
    <row r="516">
      <c r="A516" s="121"/>
      <c r="B516" s="121"/>
      <c r="C516" s="121"/>
      <c r="D516" s="121"/>
      <c r="E516" s="142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  <c r="AA516" s="121"/>
      <c r="AB516" s="121"/>
      <c r="AC516" s="121"/>
      <c r="AD516" s="121"/>
    </row>
    <row r="517">
      <c r="A517" s="121"/>
      <c r="B517" s="121"/>
      <c r="C517" s="121"/>
      <c r="D517" s="121"/>
      <c r="E517" s="142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  <c r="AA517" s="121"/>
      <c r="AB517" s="121"/>
      <c r="AC517" s="121"/>
      <c r="AD517" s="121"/>
    </row>
    <row r="518">
      <c r="A518" s="121"/>
      <c r="B518" s="121"/>
      <c r="C518" s="121"/>
      <c r="D518" s="121"/>
      <c r="E518" s="142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  <c r="AA518" s="121"/>
      <c r="AB518" s="121"/>
      <c r="AC518" s="121"/>
      <c r="AD518" s="121"/>
    </row>
    <row r="519">
      <c r="A519" s="121"/>
      <c r="B519" s="121"/>
      <c r="C519" s="121"/>
      <c r="D519" s="121"/>
      <c r="E519" s="142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  <c r="AA519" s="121"/>
      <c r="AB519" s="121"/>
      <c r="AC519" s="121"/>
      <c r="AD519" s="121"/>
    </row>
    <row r="520">
      <c r="A520" s="121"/>
      <c r="B520" s="121"/>
      <c r="C520" s="121"/>
      <c r="D520" s="121"/>
      <c r="E520" s="142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  <c r="AA520" s="121"/>
      <c r="AB520" s="121"/>
      <c r="AC520" s="121"/>
      <c r="AD520" s="121"/>
    </row>
    <row r="521">
      <c r="A521" s="121"/>
      <c r="B521" s="121"/>
      <c r="C521" s="121"/>
      <c r="D521" s="121"/>
      <c r="E521" s="142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  <c r="AA521" s="121"/>
      <c r="AB521" s="121"/>
      <c r="AC521" s="121"/>
      <c r="AD521" s="121"/>
    </row>
    <row r="522">
      <c r="A522" s="121"/>
      <c r="B522" s="121"/>
      <c r="C522" s="121"/>
      <c r="D522" s="121"/>
      <c r="E522" s="142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  <c r="AA522" s="121"/>
      <c r="AB522" s="121"/>
      <c r="AC522" s="121"/>
      <c r="AD522" s="121"/>
    </row>
    <row r="523">
      <c r="A523" s="121"/>
      <c r="B523" s="121"/>
      <c r="C523" s="121"/>
      <c r="D523" s="121"/>
      <c r="E523" s="142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  <c r="AA523" s="121"/>
      <c r="AB523" s="121"/>
      <c r="AC523" s="121"/>
      <c r="AD523" s="121"/>
    </row>
    <row r="524">
      <c r="A524" s="121"/>
      <c r="B524" s="121"/>
      <c r="C524" s="121"/>
      <c r="D524" s="121"/>
      <c r="E524" s="142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  <c r="AA524" s="121"/>
      <c r="AB524" s="121"/>
      <c r="AC524" s="121"/>
      <c r="AD524" s="121"/>
    </row>
    <row r="525">
      <c r="A525" s="121"/>
      <c r="B525" s="121"/>
      <c r="C525" s="121"/>
      <c r="D525" s="121"/>
      <c r="E525" s="142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  <c r="AA525" s="121"/>
      <c r="AB525" s="121"/>
      <c r="AC525" s="121"/>
      <c r="AD525" s="121"/>
    </row>
    <row r="526">
      <c r="A526" s="121"/>
      <c r="B526" s="121"/>
      <c r="C526" s="121"/>
      <c r="D526" s="121"/>
      <c r="E526" s="142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  <c r="AA526" s="121"/>
      <c r="AB526" s="121"/>
      <c r="AC526" s="121"/>
      <c r="AD526" s="121"/>
    </row>
    <row r="527">
      <c r="A527" s="121"/>
      <c r="B527" s="121"/>
      <c r="C527" s="121"/>
      <c r="D527" s="121"/>
      <c r="E527" s="142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  <c r="AA527" s="121"/>
      <c r="AB527" s="121"/>
      <c r="AC527" s="121"/>
      <c r="AD527" s="121"/>
    </row>
    <row r="528">
      <c r="A528" s="121"/>
      <c r="B528" s="121"/>
      <c r="C528" s="121"/>
      <c r="D528" s="121"/>
      <c r="E528" s="142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  <c r="AA528" s="121"/>
      <c r="AB528" s="121"/>
      <c r="AC528" s="121"/>
      <c r="AD528" s="121"/>
    </row>
    <row r="529">
      <c r="A529" s="121"/>
      <c r="B529" s="121"/>
      <c r="C529" s="121"/>
      <c r="D529" s="121"/>
      <c r="E529" s="142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  <c r="AA529" s="121"/>
      <c r="AB529" s="121"/>
      <c r="AC529" s="121"/>
      <c r="AD529" s="121"/>
    </row>
    <row r="530">
      <c r="A530" s="121"/>
      <c r="B530" s="121"/>
      <c r="C530" s="121"/>
      <c r="D530" s="121"/>
      <c r="E530" s="142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  <c r="AA530" s="121"/>
      <c r="AB530" s="121"/>
      <c r="AC530" s="121"/>
      <c r="AD530" s="121"/>
    </row>
    <row r="531">
      <c r="A531" s="121"/>
      <c r="B531" s="121"/>
      <c r="C531" s="121"/>
      <c r="D531" s="121"/>
      <c r="E531" s="142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  <c r="AA531" s="121"/>
      <c r="AB531" s="121"/>
      <c r="AC531" s="121"/>
      <c r="AD531" s="121"/>
    </row>
    <row r="532">
      <c r="A532" s="121"/>
      <c r="B532" s="121"/>
      <c r="C532" s="121"/>
      <c r="D532" s="121"/>
      <c r="E532" s="142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  <c r="AA532" s="121"/>
      <c r="AB532" s="121"/>
      <c r="AC532" s="121"/>
      <c r="AD532" s="121"/>
    </row>
    <row r="533">
      <c r="A533" s="121"/>
      <c r="B533" s="121"/>
      <c r="C533" s="121"/>
      <c r="D533" s="121"/>
      <c r="E533" s="142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  <c r="AA533" s="121"/>
      <c r="AB533" s="121"/>
      <c r="AC533" s="121"/>
      <c r="AD533" s="121"/>
    </row>
    <row r="534">
      <c r="A534" s="121"/>
      <c r="B534" s="121"/>
      <c r="C534" s="121"/>
      <c r="D534" s="121"/>
      <c r="E534" s="142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  <c r="AA534" s="121"/>
      <c r="AB534" s="121"/>
      <c r="AC534" s="121"/>
      <c r="AD534" s="121"/>
    </row>
    <row r="535">
      <c r="A535" s="121"/>
      <c r="B535" s="121"/>
      <c r="C535" s="121"/>
      <c r="D535" s="121"/>
      <c r="E535" s="142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  <c r="AA535" s="121"/>
      <c r="AB535" s="121"/>
      <c r="AC535" s="121"/>
      <c r="AD535" s="121"/>
    </row>
    <row r="536">
      <c r="A536" s="121"/>
      <c r="B536" s="121"/>
      <c r="C536" s="121"/>
      <c r="D536" s="121"/>
      <c r="E536" s="142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  <c r="AA536" s="121"/>
      <c r="AB536" s="121"/>
      <c r="AC536" s="121"/>
      <c r="AD536" s="121"/>
    </row>
    <row r="537">
      <c r="A537" s="121"/>
      <c r="B537" s="121"/>
      <c r="C537" s="121"/>
      <c r="D537" s="121"/>
      <c r="E537" s="142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  <c r="AA537" s="121"/>
      <c r="AB537" s="121"/>
      <c r="AC537" s="121"/>
      <c r="AD537" s="121"/>
    </row>
    <row r="538">
      <c r="A538" s="121"/>
      <c r="B538" s="121"/>
      <c r="C538" s="121"/>
      <c r="D538" s="121"/>
      <c r="E538" s="142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</row>
    <row r="539">
      <c r="A539" s="121"/>
      <c r="B539" s="121"/>
      <c r="C539" s="121"/>
      <c r="D539" s="121"/>
      <c r="E539" s="142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</row>
    <row r="540">
      <c r="A540" s="121"/>
      <c r="B540" s="121"/>
      <c r="C540" s="121"/>
      <c r="D540" s="121"/>
      <c r="E540" s="142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  <c r="AA540" s="121"/>
      <c r="AB540" s="121"/>
      <c r="AC540" s="121"/>
      <c r="AD540" s="121"/>
    </row>
    <row r="541">
      <c r="A541" s="121"/>
      <c r="B541" s="121"/>
      <c r="C541" s="121"/>
      <c r="D541" s="121"/>
      <c r="E541" s="142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</row>
    <row r="542">
      <c r="A542" s="121"/>
      <c r="B542" s="121"/>
      <c r="C542" s="121"/>
      <c r="D542" s="121"/>
      <c r="E542" s="142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</row>
    <row r="543">
      <c r="A543" s="121"/>
      <c r="B543" s="121"/>
      <c r="C543" s="121"/>
      <c r="D543" s="121"/>
      <c r="E543" s="142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</row>
    <row r="544">
      <c r="A544" s="121"/>
      <c r="B544" s="121"/>
      <c r="C544" s="121"/>
      <c r="D544" s="121"/>
      <c r="E544" s="142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</row>
    <row r="545">
      <c r="A545" s="121"/>
      <c r="B545" s="121"/>
      <c r="C545" s="121"/>
      <c r="D545" s="121"/>
      <c r="E545" s="142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</row>
    <row r="546">
      <c r="A546" s="121"/>
      <c r="B546" s="121"/>
      <c r="C546" s="121"/>
      <c r="D546" s="121"/>
      <c r="E546" s="142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</row>
    <row r="547">
      <c r="A547" s="121"/>
      <c r="B547" s="121"/>
      <c r="C547" s="121"/>
      <c r="D547" s="121"/>
      <c r="E547" s="142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</row>
    <row r="548">
      <c r="A548" s="121"/>
      <c r="B548" s="121"/>
      <c r="C548" s="121"/>
      <c r="D548" s="121"/>
      <c r="E548" s="142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</row>
    <row r="549">
      <c r="A549" s="121"/>
      <c r="B549" s="121"/>
      <c r="C549" s="121"/>
      <c r="D549" s="121"/>
      <c r="E549" s="142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</row>
    <row r="550">
      <c r="A550" s="121"/>
      <c r="B550" s="121"/>
      <c r="C550" s="121"/>
      <c r="D550" s="121"/>
      <c r="E550" s="142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</row>
    <row r="551">
      <c r="A551" s="121"/>
      <c r="B551" s="121"/>
      <c r="C551" s="121"/>
      <c r="D551" s="121"/>
      <c r="E551" s="142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</row>
    <row r="552">
      <c r="A552" s="121"/>
      <c r="B552" s="121"/>
      <c r="C552" s="121"/>
      <c r="D552" s="121"/>
      <c r="E552" s="142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  <c r="AA552" s="121"/>
      <c r="AB552" s="121"/>
      <c r="AC552" s="121"/>
      <c r="AD552" s="121"/>
    </row>
    <row r="553">
      <c r="A553" s="121"/>
      <c r="B553" s="121"/>
      <c r="C553" s="121"/>
      <c r="D553" s="121"/>
      <c r="E553" s="142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  <c r="AA553" s="121"/>
      <c r="AB553" s="121"/>
      <c r="AC553" s="121"/>
      <c r="AD553" s="121"/>
    </row>
    <row r="554">
      <c r="A554" s="121"/>
      <c r="B554" s="121"/>
      <c r="C554" s="121"/>
      <c r="D554" s="121"/>
      <c r="E554" s="142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  <c r="AA554" s="121"/>
      <c r="AB554" s="121"/>
      <c r="AC554" s="121"/>
      <c r="AD554" s="121"/>
    </row>
    <row r="555">
      <c r="A555" s="121"/>
      <c r="B555" s="121"/>
      <c r="C555" s="121"/>
      <c r="D555" s="121"/>
      <c r="E555" s="142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  <c r="AA555" s="121"/>
      <c r="AB555" s="121"/>
      <c r="AC555" s="121"/>
      <c r="AD555" s="121"/>
    </row>
    <row r="556">
      <c r="A556" s="121"/>
      <c r="B556" s="121"/>
      <c r="C556" s="121"/>
      <c r="D556" s="121"/>
      <c r="E556" s="142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  <c r="AA556" s="121"/>
      <c r="AB556" s="121"/>
      <c r="AC556" s="121"/>
      <c r="AD556" s="121"/>
    </row>
    <row r="557">
      <c r="A557" s="121"/>
      <c r="B557" s="121"/>
      <c r="C557" s="121"/>
      <c r="D557" s="121"/>
      <c r="E557" s="142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  <c r="AA557" s="121"/>
      <c r="AB557" s="121"/>
      <c r="AC557" s="121"/>
      <c r="AD557" s="121"/>
    </row>
    <row r="558">
      <c r="A558" s="121"/>
      <c r="B558" s="121"/>
      <c r="C558" s="121"/>
      <c r="D558" s="121"/>
      <c r="E558" s="142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  <c r="AA558" s="121"/>
      <c r="AB558" s="121"/>
      <c r="AC558" s="121"/>
      <c r="AD558" s="121"/>
    </row>
    <row r="559">
      <c r="A559" s="121"/>
      <c r="B559" s="121"/>
      <c r="C559" s="121"/>
      <c r="D559" s="121"/>
      <c r="E559" s="142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  <c r="AA559" s="121"/>
      <c r="AB559" s="121"/>
      <c r="AC559" s="121"/>
      <c r="AD559" s="121"/>
    </row>
    <row r="560">
      <c r="A560" s="121"/>
      <c r="B560" s="121"/>
      <c r="C560" s="121"/>
      <c r="D560" s="121"/>
      <c r="E560" s="142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  <c r="AA560" s="121"/>
      <c r="AB560" s="121"/>
      <c r="AC560" s="121"/>
      <c r="AD560" s="121"/>
    </row>
    <row r="561">
      <c r="A561" s="121"/>
      <c r="B561" s="121"/>
      <c r="C561" s="121"/>
      <c r="D561" s="121"/>
      <c r="E561" s="142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  <c r="AA561" s="121"/>
      <c r="AB561" s="121"/>
      <c r="AC561" s="121"/>
      <c r="AD561" s="121"/>
    </row>
    <row r="562">
      <c r="A562" s="121"/>
      <c r="B562" s="121"/>
      <c r="C562" s="121"/>
      <c r="D562" s="121"/>
      <c r="E562" s="142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  <c r="AA562" s="121"/>
      <c r="AB562" s="121"/>
      <c r="AC562" s="121"/>
      <c r="AD562" s="121"/>
    </row>
    <row r="563">
      <c r="A563" s="121"/>
      <c r="B563" s="121"/>
      <c r="C563" s="121"/>
      <c r="D563" s="121"/>
      <c r="E563" s="142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  <c r="AA563" s="121"/>
      <c r="AB563" s="121"/>
      <c r="AC563" s="121"/>
      <c r="AD563" s="121"/>
    </row>
    <row r="564">
      <c r="A564" s="121"/>
      <c r="B564" s="121"/>
      <c r="C564" s="121"/>
      <c r="D564" s="121"/>
      <c r="E564" s="142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  <c r="AA564" s="121"/>
      <c r="AB564" s="121"/>
      <c r="AC564" s="121"/>
      <c r="AD564" s="121"/>
    </row>
    <row r="565">
      <c r="A565" s="121"/>
      <c r="B565" s="121"/>
      <c r="C565" s="121"/>
      <c r="D565" s="121"/>
      <c r="E565" s="142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  <c r="AA565" s="121"/>
      <c r="AB565" s="121"/>
      <c r="AC565" s="121"/>
      <c r="AD565" s="121"/>
    </row>
    <row r="566">
      <c r="A566" s="121"/>
      <c r="B566" s="121"/>
      <c r="C566" s="121"/>
      <c r="D566" s="121"/>
      <c r="E566" s="142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  <c r="AA566" s="121"/>
      <c r="AB566" s="121"/>
      <c r="AC566" s="121"/>
      <c r="AD566" s="121"/>
    </row>
    <row r="567">
      <c r="A567" s="121"/>
      <c r="B567" s="121"/>
      <c r="C567" s="121"/>
      <c r="D567" s="121"/>
      <c r="E567" s="142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  <c r="AA567" s="121"/>
      <c r="AB567" s="121"/>
      <c r="AC567" s="121"/>
      <c r="AD567" s="121"/>
    </row>
    <row r="568">
      <c r="A568" s="121"/>
      <c r="B568" s="121"/>
      <c r="C568" s="121"/>
      <c r="D568" s="121"/>
      <c r="E568" s="142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  <c r="AA568" s="121"/>
      <c r="AB568" s="121"/>
      <c r="AC568" s="121"/>
      <c r="AD568" s="121"/>
    </row>
    <row r="569">
      <c r="A569" s="121"/>
      <c r="B569" s="121"/>
      <c r="C569" s="121"/>
      <c r="D569" s="121"/>
      <c r="E569" s="142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  <c r="AA569" s="121"/>
      <c r="AB569" s="121"/>
      <c r="AC569" s="121"/>
      <c r="AD569" s="121"/>
    </row>
    <row r="570">
      <c r="A570" s="121"/>
      <c r="B570" s="121"/>
      <c r="C570" s="121"/>
      <c r="D570" s="121"/>
      <c r="E570" s="142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  <c r="AA570" s="121"/>
      <c r="AB570" s="121"/>
      <c r="AC570" s="121"/>
      <c r="AD570" s="121"/>
    </row>
    <row r="571">
      <c r="A571" s="121"/>
      <c r="B571" s="121"/>
      <c r="C571" s="121"/>
      <c r="D571" s="121"/>
      <c r="E571" s="142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  <c r="AA571" s="121"/>
      <c r="AB571" s="121"/>
      <c r="AC571" s="121"/>
      <c r="AD571" s="121"/>
    </row>
    <row r="572">
      <c r="A572" s="121"/>
      <c r="B572" s="121"/>
      <c r="C572" s="121"/>
      <c r="D572" s="121"/>
      <c r="E572" s="142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  <c r="AA572" s="121"/>
      <c r="AB572" s="121"/>
      <c r="AC572" s="121"/>
      <c r="AD572" s="121"/>
    </row>
    <row r="573">
      <c r="A573" s="121"/>
      <c r="B573" s="121"/>
      <c r="C573" s="121"/>
      <c r="D573" s="121"/>
      <c r="E573" s="142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  <c r="AA573" s="121"/>
      <c r="AB573" s="121"/>
      <c r="AC573" s="121"/>
      <c r="AD573" s="121"/>
    </row>
    <row r="574">
      <c r="A574" s="121"/>
      <c r="B574" s="121"/>
      <c r="C574" s="121"/>
      <c r="D574" s="121"/>
      <c r="E574" s="142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  <c r="AA574" s="121"/>
      <c r="AB574" s="121"/>
      <c r="AC574" s="121"/>
      <c r="AD574" s="121"/>
    </row>
    <row r="575">
      <c r="A575" s="121"/>
      <c r="B575" s="121"/>
      <c r="C575" s="121"/>
      <c r="D575" s="121"/>
      <c r="E575" s="142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  <c r="AA575" s="121"/>
      <c r="AB575" s="121"/>
      <c r="AC575" s="121"/>
      <c r="AD575" s="121"/>
    </row>
    <row r="576">
      <c r="A576" s="121"/>
      <c r="B576" s="121"/>
      <c r="C576" s="121"/>
      <c r="D576" s="121"/>
      <c r="E576" s="142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</row>
    <row r="577">
      <c r="A577" s="121"/>
      <c r="B577" s="121"/>
      <c r="C577" s="121"/>
      <c r="D577" s="121"/>
      <c r="E577" s="142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</row>
    <row r="578">
      <c r="A578" s="121"/>
      <c r="B578" s="121"/>
      <c r="C578" s="121"/>
      <c r="D578" s="121"/>
      <c r="E578" s="142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  <c r="AA578" s="121"/>
      <c r="AB578" s="121"/>
      <c r="AC578" s="121"/>
      <c r="AD578" s="121"/>
    </row>
    <row r="579">
      <c r="A579" s="121"/>
      <c r="B579" s="121"/>
      <c r="C579" s="121"/>
      <c r="D579" s="121"/>
      <c r="E579" s="142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</row>
    <row r="580">
      <c r="A580" s="121"/>
      <c r="B580" s="121"/>
      <c r="C580" s="121"/>
      <c r="D580" s="121"/>
      <c r="E580" s="142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</row>
    <row r="581">
      <c r="A581" s="121"/>
      <c r="B581" s="121"/>
      <c r="C581" s="121"/>
      <c r="D581" s="121"/>
      <c r="E581" s="142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</row>
    <row r="582">
      <c r="A582" s="121"/>
      <c r="B582" s="121"/>
      <c r="C582" s="121"/>
      <c r="D582" s="121"/>
      <c r="E582" s="142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</row>
    <row r="583">
      <c r="A583" s="121"/>
      <c r="B583" s="121"/>
      <c r="C583" s="121"/>
      <c r="D583" s="121"/>
      <c r="E583" s="142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</row>
    <row r="584">
      <c r="A584" s="121"/>
      <c r="B584" s="121"/>
      <c r="C584" s="121"/>
      <c r="D584" s="121"/>
      <c r="E584" s="142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</row>
    <row r="585">
      <c r="A585" s="121"/>
      <c r="B585" s="121"/>
      <c r="C585" s="121"/>
      <c r="D585" s="121"/>
      <c r="E585" s="142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</row>
    <row r="586">
      <c r="A586" s="121"/>
      <c r="B586" s="121"/>
      <c r="C586" s="121"/>
      <c r="D586" s="121"/>
      <c r="E586" s="142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</row>
    <row r="587">
      <c r="A587" s="121"/>
      <c r="B587" s="121"/>
      <c r="C587" s="121"/>
      <c r="D587" s="121"/>
      <c r="E587" s="142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</row>
    <row r="588">
      <c r="A588" s="121"/>
      <c r="B588" s="121"/>
      <c r="C588" s="121"/>
      <c r="D588" s="121"/>
      <c r="E588" s="142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</row>
    <row r="589">
      <c r="A589" s="121"/>
      <c r="B589" s="121"/>
      <c r="C589" s="121"/>
      <c r="D589" s="121"/>
      <c r="E589" s="142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</row>
    <row r="590">
      <c r="A590" s="121"/>
      <c r="B590" s="121"/>
      <c r="C590" s="121"/>
      <c r="D590" s="121"/>
      <c r="E590" s="142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  <c r="AA590" s="121"/>
      <c r="AB590" s="121"/>
      <c r="AC590" s="121"/>
      <c r="AD590" s="121"/>
    </row>
    <row r="591">
      <c r="A591" s="121"/>
      <c r="B591" s="121"/>
      <c r="C591" s="121"/>
      <c r="D591" s="121"/>
      <c r="E591" s="142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  <c r="AA591" s="121"/>
      <c r="AB591" s="121"/>
      <c r="AC591" s="121"/>
      <c r="AD591" s="121"/>
    </row>
    <row r="592">
      <c r="A592" s="121"/>
      <c r="B592" s="121"/>
      <c r="C592" s="121"/>
      <c r="D592" s="121"/>
      <c r="E592" s="142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  <c r="AA592" s="121"/>
      <c r="AB592" s="121"/>
      <c r="AC592" s="121"/>
      <c r="AD592" s="121"/>
    </row>
    <row r="593">
      <c r="A593" s="121"/>
      <c r="B593" s="121"/>
      <c r="C593" s="121"/>
      <c r="D593" s="121"/>
      <c r="E593" s="142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  <c r="AA593" s="121"/>
      <c r="AB593" s="121"/>
      <c r="AC593" s="121"/>
      <c r="AD593" s="121"/>
    </row>
    <row r="594">
      <c r="A594" s="121"/>
      <c r="B594" s="121"/>
      <c r="C594" s="121"/>
      <c r="D594" s="121"/>
      <c r="E594" s="142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  <c r="AA594" s="121"/>
      <c r="AB594" s="121"/>
      <c r="AC594" s="121"/>
      <c r="AD594" s="121"/>
    </row>
    <row r="595">
      <c r="A595" s="121"/>
      <c r="B595" s="121"/>
      <c r="C595" s="121"/>
      <c r="D595" s="121"/>
      <c r="E595" s="142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  <c r="AA595" s="121"/>
      <c r="AB595" s="121"/>
      <c r="AC595" s="121"/>
      <c r="AD595" s="121"/>
    </row>
    <row r="596">
      <c r="A596" s="121"/>
      <c r="B596" s="121"/>
      <c r="C596" s="121"/>
      <c r="D596" s="121"/>
      <c r="E596" s="142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  <c r="AA596" s="121"/>
      <c r="AB596" s="121"/>
      <c r="AC596" s="121"/>
      <c r="AD596" s="121"/>
    </row>
    <row r="597">
      <c r="A597" s="121"/>
      <c r="B597" s="121"/>
      <c r="C597" s="121"/>
      <c r="D597" s="121"/>
      <c r="E597" s="142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  <c r="AA597" s="121"/>
      <c r="AB597" s="121"/>
      <c r="AC597" s="121"/>
      <c r="AD597" s="121"/>
    </row>
    <row r="598">
      <c r="A598" s="121"/>
      <c r="B598" s="121"/>
      <c r="C598" s="121"/>
      <c r="D598" s="121"/>
      <c r="E598" s="142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  <c r="AA598" s="121"/>
      <c r="AB598" s="121"/>
      <c r="AC598" s="121"/>
      <c r="AD598" s="121"/>
    </row>
    <row r="599">
      <c r="A599" s="121"/>
      <c r="B599" s="121"/>
      <c r="C599" s="121"/>
      <c r="D599" s="121"/>
      <c r="E599" s="142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  <c r="AA599" s="121"/>
      <c r="AB599" s="121"/>
      <c r="AC599" s="121"/>
      <c r="AD599" s="121"/>
    </row>
    <row r="600">
      <c r="A600" s="121"/>
      <c r="B600" s="121"/>
      <c r="C600" s="121"/>
      <c r="D600" s="121"/>
      <c r="E600" s="142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  <c r="AA600" s="121"/>
      <c r="AB600" s="121"/>
      <c r="AC600" s="121"/>
      <c r="AD600" s="121"/>
    </row>
    <row r="601">
      <c r="A601" s="121"/>
      <c r="B601" s="121"/>
      <c r="C601" s="121"/>
      <c r="D601" s="121"/>
      <c r="E601" s="142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  <c r="AA601" s="121"/>
      <c r="AB601" s="121"/>
      <c r="AC601" s="121"/>
      <c r="AD601" s="121"/>
    </row>
    <row r="602">
      <c r="A602" s="121"/>
      <c r="B602" s="121"/>
      <c r="C602" s="121"/>
      <c r="D602" s="121"/>
      <c r="E602" s="142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  <c r="AA602" s="121"/>
      <c r="AB602" s="121"/>
      <c r="AC602" s="121"/>
      <c r="AD602" s="121"/>
    </row>
    <row r="603">
      <c r="A603" s="121"/>
      <c r="B603" s="121"/>
      <c r="C603" s="121"/>
      <c r="D603" s="121"/>
      <c r="E603" s="142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  <c r="AA603" s="121"/>
      <c r="AB603" s="121"/>
      <c r="AC603" s="121"/>
      <c r="AD603" s="121"/>
    </row>
    <row r="604">
      <c r="A604" s="121"/>
      <c r="B604" s="121"/>
      <c r="C604" s="121"/>
      <c r="D604" s="121"/>
      <c r="E604" s="142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  <c r="AA604" s="121"/>
      <c r="AB604" s="121"/>
      <c r="AC604" s="121"/>
      <c r="AD604" s="121"/>
    </row>
    <row r="605">
      <c r="A605" s="121"/>
      <c r="B605" s="121"/>
      <c r="C605" s="121"/>
      <c r="D605" s="121"/>
      <c r="E605" s="142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  <c r="AA605" s="121"/>
      <c r="AB605" s="121"/>
      <c r="AC605" s="121"/>
      <c r="AD605" s="121"/>
    </row>
    <row r="606">
      <c r="A606" s="121"/>
      <c r="B606" s="121"/>
      <c r="C606" s="121"/>
      <c r="D606" s="121"/>
      <c r="E606" s="142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  <c r="AA606" s="121"/>
      <c r="AB606" s="121"/>
      <c r="AC606" s="121"/>
      <c r="AD606" s="121"/>
    </row>
    <row r="607">
      <c r="A607" s="121"/>
      <c r="B607" s="121"/>
      <c r="C607" s="121"/>
      <c r="D607" s="121"/>
      <c r="E607" s="142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  <c r="AA607" s="121"/>
      <c r="AB607" s="121"/>
      <c r="AC607" s="121"/>
      <c r="AD607" s="121"/>
    </row>
    <row r="608">
      <c r="A608" s="121"/>
      <c r="B608" s="121"/>
      <c r="C608" s="121"/>
      <c r="D608" s="121"/>
      <c r="E608" s="142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  <c r="AA608" s="121"/>
      <c r="AB608" s="121"/>
      <c r="AC608" s="121"/>
      <c r="AD608" s="121"/>
    </row>
    <row r="609">
      <c r="A609" s="121"/>
      <c r="B609" s="121"/>
      <c r="C609" s="121"/>
      <c r="D609" s="121"/>
      <c r="E609" s="142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  <c r="AA609" s="121"/>
      <c r="AB609" s="121"/>
      <c r="AC609" s="121"/>
      <c r="AD609" s="121"/>
    </row>
    <row r="610">
      <c r="A610" s="121"/>
      <c r="B610" s="121"/>
      <c r="C610" s="121"/>
      <c r="D610" s="121"/>
      <c r="E610" s="142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  <c r="AA610" s="121"/>
      <c r="AB610" s="121"/>
      <c r="AC610" s="121"/>
      <c r="AD610" s="121"/>
    </row>
    <row r="611">
      <c r="A611" s="121"/>
      <c r="B611" s="121"/>
      <c r="C611" s="121"/>
      <c r="D611" s="121"/>
      <c r="E611" s="142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  <c r="AA611" s="121"/>
      <c r="AB611" s="121"/>
      <c r="AC611" s="121"/>
      <c r="AD611" s="121"/>
    </row>
    <row r="612">
      <c r="A612" s="121"/>
      <c r="B612" s="121"/>
      <c r="C612" s="121"/>
      <c r="D612" s="121"/>
      <c r="E612" s="142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  <c r="AA612" s="121"/>
      <c r="AB612" s="121"/>
      <c r="AC612" s="121"/>
      <c r="AD612" s="121"/>
    </row>
    <row r="613">
      <c r="A613" s="121"/>
      <c r="B613" s="121"/>
      <c r="C613" s="121"/>
      <c r="D613" s="121"/>
      <c r="E613" s="142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  <c r="AA613" s="121"/>
      <c r="AB613" s="121"/>
      <c r="AC613" s="121"/>
      <c r="AD613" s="121"/>
    </row>
    <row r="614">
      <c r="A614" s="121"/>
      <c r="B614" s="121"/>
      <c r="C614" s="121"/>
      <c r="D614" s="121"/>
      <c r="E614" s="142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</row>
    <row r="615">
      <c r="A615" s="121"/>
      <c r="B615" s="121"/>
      <c r="C615" s="121"/>
      <c r="D615" s="121"/>
      <c r="E615" s="142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</row>
    <row r="616">
      <c r="A616" s="121"/>
      <c r="B616" s="121"/>
      <c r="C616" s="121"/>
      <c r="D616" s="121"/>
      <c r="E616" s="142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  <c r="AA616" s="121"/>
      <c r="AB616" s="121"/>
      <c r="AC616" s="121"/>
      <c r="AD616" s="121"/>
    </row>
    <row r="617">
      <c r="A617" s="121"/>
      <c r="B617" s="121"/>
      <c r="C617" s="121"/>
      <c r="D617" s="121"/>
      <c r="E617" s="142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</row>
    <row r="618">
      <c r="A618" s="121"/>
      <c r="B618" s="121"/>
      <c r="C618" s="121"/>
      <c r="D618" s="121"/>
      <c r="E618" s="142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</row>
    <row r="619">
      <c r="A619" s="121"/>
      <c r="B619" s="121"/>
      <c r="C619" s="121"/>
      <c r="D619" s="121"/>
      <c r="E619" s="142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</row>
    <row r="620">
      <c r="A620" s="121"/>
      <c r="B620" s="121"/>
      <c r="C620" s="121"/>
      <c r="D620" s="121"/>
      <c r="E620" s="142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</row>
    <row r="621">
      <c r="A621" s="121"/>
      <c r="B621" s="121"/>
      <c r="C621" s="121"/>
      <c r="D621" s="121"/>
      <c r="E621" s="142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</row>
    <row r="622">
      <c r="A622" s="121"/>
      <c r="B622" s="121"/>
      <c r="C622" s="121"/>
      <c r="D622" s="121"/>
      <c r="E622" s="142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</row>
    <row r="623">
      <c r="A623" s="121"/>
      <c r="B623" s="121"/>
      <c r="C623" s="121"/>
      <c r="D623" s="121"/>
      <c r="E623" s="142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</row>
    <row r="624">
      <c r="A624" s="121"/>
      <c r="B624" s="121"/>
      <c r="C624" s="121"/>
      <c r="D624" s="121"/>
      <c r="E624" s="142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</row>
    <row r="625">
      <c r="A625" s="121"/>
      <c r="B625" s="121"/>
      <c r="C625" s="121"/>
      <c r="D625" s="121"/>
      <c r="E625" s="142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</row>
    <row r="626">
      <c r="A626" s="121"/>
      <c r="B626" s="121"/>
      <c r="C626" s="121"/>
      <c r="D626" s="121"/>
      <c r="E626" s="142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</row>
    <row r="627">
      <c r="A627" s="121"/>
      <c r="B627" s="121"/>
      <c r="C627" s="121"/>
      <c r="D627" s="121"/>
      <c r="E627" s="142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</row>
    <row r="628">
      <c r="A628" s="121"/>
      <c r="B628" s="121"/>
      <c r="C628" s="121"/>
      <c r="D628" s="121"/>
      <c r="E628" s="142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  <c r="AA628" s="121"/>
      <c r="AB628" s="121"/>
      <c r="AC628" s="121"/>
      <c r="AD628" s="121"/>
    </row>
    <row r="629">
      <c r="A629" s="121"/>
      <c r="B629" s="121"/>
      <c r="C629" s="121"/>
      <c r="D629" s="121"/>
      <c r="E629" s="142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  <c r="AA629" s="121"/>
      <c r="AB629" s="121"/>
      <c r="AC629" s="121"/>
      <c r="AD629" s="121"/>
    </row>
    <row r="630">
      <c r="A630" s="121"/>
      <c r="B630" s="121"/>
      <c r="C630" s="121"/>
      <c r="D630" s="121"/>
      <c r="E630" s="142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  <c r="AA630" s="121"/>
      <c r="AB630" s="121"/>
      <c r="AC630" s="121"/>
      <c r="AD630" s="121"/>
    </row>
    <row r="631">
      <c r="A631" s="121"/>
      <c r="B631" s="121"/>
      <c r="C631" s="121"/>
      <c r="D631" s="121"/>
      <c r="E631" s="142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  <c r="AA631" s="121"/>
      <c r="AB631" s="121"/>
      <c r="AC631" s="121"/>
      <c r="AD631" s="121"/>
    </row>
    <row r="632">
      <c r="A632" s="121"/>
      <c r="B632" s="121"/>
      <c r="C632" s="121"/>
      <c r="D632" s="121"/>
      <c r="E632" s="142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  <c r="AA632" s="121"/>
      <c r="AB632" s="121"/>
      <c r="AC632" s="121"/>
      <c r="AD632" s="121"/>
    </row>
    <row r="633">
      <c r="A633" s="121"/>
      <c r="B633" s="121"/>
      <c r="C633" s="121"/>
      <c r="D633" s="121"/>
      <c r="E633" s="142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  <c r="AA633" s="121"/>
      <c r="AB633" s="121"/>
      <c r="AC633" s="121"/>
      <c r="AD633" s="121"/>
    </row>
    <row r="634">
      <c r="A634" s="121"/>
      <c r="B634" s="121"/>
      <c r="C634" s="121"/>
      <c r="D634" s="121"/>
      <c r="E634" s="142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  <c r="AA634" s="121"/>
      <c r="AB634" s="121"/>
      <c r="AC634" s="121"/>
      <c r="AD634" s="121"/>
    </row>
    <row r="635">
      <c r="A635" s="121"/>
      <c r="B635" s="121"/>
      <c r="C635" s="121"/>
      <c r="D635" s="121"/>
      <c r="E635" s="142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  <c r="AA635" s="121"/>
      <c r="AB635" s="121"/>
      <c r="AC635" s="121"/>
      <c r="AD635" s="121"/>
    </row>
    <row r="636">
      <c r="A636" s="121"/>
      <c r="B636" s="121"/>
      <c r="C636" s="121"/>
      <c r="D636" s="121"/>
      <c r="E636" s="142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  <c r="AA636" s="121"/>
      <c r="AB636" s="121"/>
      <c r="AC636" s="121"/>
      <c r="AD636" s="121"/>
    </row>
    <row r="637">
      <c r="A637" s="121"/>
      <c r="B637" s="121"/>
      <c r="C637" s="121"/>
      <c r="D637" s="121"/>
      <c r="E637" s="142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  <c r="AA637" s="121"/>
      <c r="AB637" s="121"/>
      <c r="AC637" s="121"/>
      <c r="AD637" s="121"/>
    </row>
    <row r="638">
      <c r="A638" s="121"/>
      <c r="B638" s="121"/>
      <c r="C638" s="121"/>
      <c r="D638" s="121"/>
      <c r="E638" s="142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  <c r="AA638" s="121"/>
      <c r="AB638" s="121"/>
      <c r="AC638" s="121"/>
      <c r="AD638" s="121"/>
    </row>
    <row r="639">
      <c r="A639" s="121"/>
      <c r="B639" s="121"/>
      <c r="C639" s="121"/>
      <c r="D639" s="121"/>
      <c r="E639" s="142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  <c r="AA639" s="121"/>
      <c r="AB639" s="121"/>
      <c r="AC639" s="121"/>
      <c r="AD639" s="121"/>
    </row>
    <row r="640">
      <c r="A640" s="121"/>
      <c r="B640" s="121"/>
      <c r="C640" s="121"/>
      <c r="D640" s="121"/>
      <c r="E640" s="142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  <c r="AA640" s="121"/>
      <c r="AB640" s="121"/>
      <c r="AC640" s="121"/>
      <c r="AD640" s="121"/>
    </row>
    <row r="641">
      <c r="A641" s="121"/>
      <c r="B641" s="121"/>
      <c r="C641" s="121"/>
      <c r="D641" s="121"/>
      <c r="E641" s="142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  <c r="AA641" s="121"/>
      <c r="AB641" s="121"/>
      <c r="AC641" s="121"/>
      <c r="AD641" s="121"/>
    </row>
    <row r="642">
      <c r="A642" s="121"/>
      <c r="B642" s="121"/>
      <c r="C642" s="121"/>
      <c r="D642" s="121"/>
      <c r="E642" s="142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  <c r="AA642" s="121"/>
      <c r="AB642" s="121"/>
      <c r="AC642" s="121"/>
      <c r="AD642" s="121"/>
    </row>
    <row r="643">
      <c r="A643" s="121"/>
      <c r="B643" s="121"/>
      <c r="C643" s="121"/>
      <c r="D643" s="121"/>
      <c r="E643" s="142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  <c r="AA643" s="121"/>
      <c r="AB643" s="121"/>
      <c r="AC643" s="121"/>
      <c r="AD643" s="121"/>
    </row>
    <row r="644">
      <c r="A644" s="121"/>
      <c r="B644" s="121"/>
      <c r="C644" s="121"/>
      <c r="D644" s="121"/>
      <c r="E644" s="142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  <c r="AA644" s="121"/>
      <c r="AB644" s="121"/>
      <c r="AC644" s="121"/>
      <c r="AD644" s="121"/>
    </row>
    <row r="645">
      <c r="A645" s="121"/>
      <c r="B645" s="121"/>
      <c r="C645" s="121"/>
      <c r="D645" s="121"/>
      <c r="E645" s="142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  <c r="AA645" s="121"/>
      <c r="AB645" s="121"/>
      <c r="AC645" s="121"/>
      <c r="AD645" s="121"/>
    </row>
    <row r="646">
      <c r="A646" s="121"/>
      <c r="B646" s="121"/>
      <c r="C646" s="121"/>
      <c r="D646" s="121"/>
      <c r="E646" s="142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  <c r="AA646" s="121"/>
      <c r="AB646" s="121"/>
      <c r="AC646" s="121"/>
      <c r="AD646" s="121"/>
    </row>
    <row r="647">
      <c r="A647" s="121"/>
      <c r="B647" s="121"/>
      <c r="C647" s="121"/>
      <c r="D647" s="121"/>
      <c r="E647" s="142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  <c r="AA647" s="121"/>
      <c r="AB647" s="121"/>
      <c r="AC647" s="121"/>
      <c r="AD647" s="121"/>
    </row>
    <row r="648">
      <c r="A648" s="121"/>
      <c r="B648" s="121"/>
      <c r="C648" s="121"/>
      <c r="D648" s="121"/>
      <c r="E648" s="142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  <c r="AA648" s="121"/>
      <c r="AB648" s="121"/>
      <c r="AC648" s="121"/>
      <c r="AD648" s="121"/>
    </row>
    <row r="649">
      <c r="A649" s="121"/>
      <c r="B649" s="121"/>
      <c r="C649" s="121"/>
      <c r="D649" s="121"/>
      <c r="E649" s="142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  <c r="AA649" s="121"/>
      <c r="AB649" s="121"/>
      <c r="AC649" s="121"/>
      <c r="AD649" s="121"/>
    </row>
    <row r="650">
      <c r="A650" s="121"/>
      <c r="B650" s="121"/>
      <c r="C650" s="121"/>
      <c r="D650" s="121"/>
      <c r="E650" s="142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  <c r="AA650" s="121"/>
      <c r="AB650" s="121"/>
      <c r="AC650" s="121"/>
      <c r="AD650" s="121"/>
    </row>
    <row r="651">
      <c r="A651" s="121"/>
      <c r="B651" s="121"/>
      <c r="C651" s="121"/>
      <c r="D651" s="121"/>
      <c r="E651" s="142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  <c r="AA651" s="121"/>
      <c r="AB651" s="121"/>
      <c r="AC651" s="121"/>
      <c r="AD651" s="121"/>
    </row>
    <row r="652">
      <c r="A652" s="121"/>
      <c r="B652" s="121"/>
      <c r="C652" s="121"/>
      <c r="D652" s="121"/>
      <c r="E652" s="142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</row>
    <row r="653">
      <c r="A653" s="121"/>
      <c r="B653" s="121"/>
      <c r="C653" s="121"/>
      <c r="D653" s="121"/>
      <c r="E653" s="142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</row>
    <row r="654">
      <c r="A654" s="121"/>
      <c r="B654" s="121"/>
      <c r="C654" s="121"/>
      <c r="D654" s="121"/>
      <c r="E654" s="142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  <c r="AA654" s="121"/>
      <c r="AB654" s="121"/>
      <c r="AC654" s="121"/>
      <c r="AD654" s="121"/>
    </row>
    <row r="655">
      <c r="A655" s="121"/>
      <c r="B655" s="121"/>
      <c r="C655" s="121"/>
      <c r="D655" s="121"/>
      <c r="E655" s="142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</row>
    <row r="656">
      <c r="A656" s="121"/>
      <c r="B656" s="121"/>
      <c r="C656" s="121"/>
      <c r="D656" s="121"/>
      <c r="E656" s="142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</row>
    <row r="657">
      <c r="A657" s="121"/>
      <c r="B657" s="121"/>
      <c r="C657" s="121"/>
      <c r="D657" s="121"/>
      <c r="E657" s="142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</row>
    <row r="658">
      <c r="A658" s="121"/>
      <c r="B658" s="121"/>
      <c r="C658" s="121"/>
      <c r="D658" s="121"/>
      <c r="E658" s="142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</row>
    <row r="659">
      <c r="A659" s="121"/>
      <c r="B659" s="121"/>
      <c r="C659" s="121"/>
      <c r="D659" s="121"/>
      <c r="E659" s="142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</row>
    <row r="660">
      <c r="A660" s="121"/>
      <c r="B660" s="121"/>
      <c r="C660" s="121"/>
      <c r="D660" s="121"/>
      <c r="E660" s="142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</row>
    <row r="661">
      <c r="A661" s="121"/>
      <c r="B661" s="121"/>
      <c r="C661" s="121"/>
      <c r="D661" s="121"/>
      <c r="E661" s="142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</row>
    <row r="662">
      <c r="A662" s="121"/>
      <c r="B662" s="121"/>
      <c r="C662" s="121"/>
      <c r="D662" s="121"/>
      <c r="E662" s="142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</row>
    <row r="663">
      <c r="A663" s="121"/>
      <c r="B663" s="121"/>
      <c r="C663" s="121"/>
      <c r="D663" s="121"/>
      <c r="E663" s="142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</row>
    <row r="664">
      <c r="A664" s="121"/>
      <c r="B664" s="121"/>
      <c r="C664" s="121"/>
      <c r="D664" s="121"/>
      <c r="E664" s="142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</row>
    <row r="665">
      <c r="A665" s="121"/>
      <c r="B665" s="121"/>
      <c r="C665" s="121"/>
      <c r="D665" s="121"/>
      <c r="E665" s="142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</row>
    <row r="666">
      <c r="A666" s="121"/>
      <c r="B666" s="121"/>
      <c r="C666" s="121"/>
      <c r="D666" s="121"/>
      <c r="E666" s="142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  <c r="AA666" s="121"/>
      <c r="AB666" s="121"/>
      <c r="AC666" s="121"/>
      <c r="AD666" s="121"/>
    </row>
    <row r="667">
      <c r="A667" s="121"/>
      <c r="B667" s="121"/>
      <c r="C667" s="121"/>
      <c r="D667" s="121"/>
      <c r="E667" s="142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  <c r="AA667" s="121"/>
      <c r="AB667" s="121"/>
      <c r="AC667" s="121"/>
      <c r="AD667" s="121"/>
    </row>
    <row r="668">
      <c r="A668" s="121"/>
      <c r="B668" s="121"/>
      <c r="C668" s="121"/>
      <c r="D668" s="121"/>
      <c r="E668" s="142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  <c r="AA668" s="121"/>
      <c r="AB668" s="121"/>
      <c r="AC668" s="121"/>
      <c r="AD668" s="121"/>
    </row>
    <row r="669">
      <c r="A669" s="121"/>
      <c r="B669" s="121"/>
      <c r="C669" s="121"/>
      <c r="D669" s="121"/>
      <c r="E669" s="142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  <c r="AA669" s="121"/>
      <c r="AB669" s="121"/>
      <c r="AC669" s="121"/>
      <c r="AD669" s="121"/>
    </row>
    <row r="670">
      <c r="A670" s="121"/>
      <c r="B670" s="121"/>
      <c r="C670" s="121"/>
      <c r="D670" s="121"/>
      <c r="E670" s="142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  <c r="AA670" s="121"/>
      <c r="AB670" s="121"/>
      <c r="AC670" s="121"/>
      <c r="AD670" s="121"/>
    </row>
    <row r="671">
      <c r="A671" s="121"/>
      <c r="B671" s="121"/>
      <c r="C671" s="121"/>
      <c r="D671" s="121"/>
      <c r="E671" s="142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  <c r="AA671" s="121"/>
      <c r="AB671" s="121"/>
      <c r="AC671" s="121"/>
      <c r="AD671" s="121"/>
    </row>
    <row r="672">
      <c r="A672" s="121"/>
      <c r="B672" s="121"/>
      <c r="C672" s="121"/>
      <c r="D672" s="121"/>
      <c r="E672" s="142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  <c r="AA672" s="121"/>
      <c r="AB672" s="121"/>
      <c r="AC672" s="121"/>
      <c r="AD672" s="121"/>
    </row>
    <row r="673">
      <c r="A673" s="121"/>
      <c r="B673" s="121"/>
      <c r="C673" s="121"/>
      <c r="D673" s="121"/>
      <c r="E673" s="142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  <c r="AA673" s="121"/>
      <c r="AB673" s="121"/>
      <c r="AC673" s="121"/>
      <c r="AD673" s="121"/>
    </row>
    <row r="674">
      <c r="A674" s="121"/>
      <c r="B674" s="121"/>
      <c r="C674" s="121"/>
      <c r="D674" s="121"/>
      <c r="E674" s="142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  <c r="AA674" s="121"/>
      <c r="AB674" s="121"/>
      <c r="AC674" s="121"/>
      <c r="AD674" s="121"/>
    </row>
    <row r="675">
      <c r="A675" s="121"/>
      <c r="B675" s="121"/>
      <c r="C675" s="121"/>
      <c r="D675" s="121"/>
      <c r="E675" s="142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  <c r="AA675" s="121"/>
      <c r="AB675" s="121"/>
      <c r="AC675" s="121"/>
      <c r="AD675" s="121"/>
    </row>
    <row r="676">
      <c r="A676" s="121"/>
      <c r="B676" s="121"/>
      <c r="C676" s="121"/>
      <c r="D676" s="121"/>
      <c r="E676" s="142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  <c r="AA676" s="121"/>
      <c r="AB676" s="121"/>
      <c r="AC676" s="121"/>
      <c r="AD676" s="121"/>
    </row>
    <row r="677">
      <c r="A677" s="121"/>
      <c r="B677" s="121"/>
      <c r="C677" s="121"/>
      <c r="D677" s="121"/>
      <c r="E677" s="142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  <c r="AA677" s="121"/>
      <c r="AB677" s="121"/>
      <c r="AC677" s="121"/>
      <c r="AD677" s="121"/>
    </row>
    <row r="678">
      <c r="A678" s="121"/>
      <c r="B678" s="121"/>
      <c r="C678" s="121"/>
      <c r="D678" s="121"/>
      <c r="E678" s="142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  <c r="AA678" s="121"/>
      <c r="AB678" s="121"/>
      <c r="AC678" s="121"/>
      <c r="AD678" s="121"/>
    </row>
    <row r="679">
      <c r="A679" s="121"/>
      <c r="B679" s="121"/>
      <c r="C679" s="121"/>
      <c r="D679" s="121"/>
      <c r="E679" s="142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  <c r="AA679" s="121"/>
      <c r="AB679" s="121"/>
      <c r="AC679" s="121"/>
      <c r="AD679" s="121"/>
    </row>
    <row r="680">
      <c r="A680" s="121"/>
      <c r="B680" s="121"/>
      <c r="C680" s="121"/>
      <c r="D680" s="121"/>
      <c r="E680" s="142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  <c r="AA680" s="121"/>
      <c r="AB680" s="121"/>
      <c r="AC680" s="121"/>
      <c r="AD680" s="121"/>
    </row>
    <row r="681">
      <c r="A681" s="121"/>
      <c r="B681" s="121"/>
      <c r="C681" s="121"/>
      <c r="D681" s="121"/>
      <c r="E681" s="142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  <c r="AA681" s="121"/>
      <c r="AB681" s="121"/>
      <c r="AC681" s="121"/>
      <c r="AD681" s="121"/>
    </row>
    <row r="682">
      <c r="A682" s="121"/>
      <c r="B682" s="121"/>
      <c r="C682" s="121"/>
      <c r="D682" s="121"/>
      <c r="E682" s="142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  <c r="AA682" s="121"/>
      <c r="AB682" s="121"/>
      <c r="AC682" s="121"/>
      <c r="AD682" s="121"/>
    </row>
    <row r="683">
      <c r="A683" s="121"/>
      <c r="B683" s="121"/>
      <c r="C683" s="121"/>
      <c r="D683" s="121"/>
      <c r="E683" s="142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  <c r="AA683" s="121"/>
      <c r="AB683" s="121"/>
      <c r="AC683" s="121"/>
      <c r="AD683" s="121"/>
    </row>
    <row r="684">
      <c r="A684" s="121"/>
      <c r="B684" s="121"/>
      <c r="C684" s="121"/>
      <c r="D684" s="121"/>
      <c r="E684" s="142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  <c r="AA684" s="121"/>
      <c r="AB684" s="121"/>
      <c r="AC684" s="121"/>
      <c r="AD684" s="121"/>
    </row>
    <row r="685">
      <c r="A685" s="121"/>
      <c r="B685" s="121"/>
      <c r="C685" s="121"/>
      <c r="D685" s="121"/>
      <c r="E685" s="142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  <c r="AA685" s="121"/>
      <c r="AB685" s="121"/>
      <c r="AC685" s="121"/>
      <c r="AD685" s="121"/>
    </row>
    <row r="686">
      <c r="A686" s="121"/>
      <c r="B686" s="121"/>
      <c r="C686" s="121"/>
      <c r="D686" s="121"/>
      <c r="E686" s="142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  <c r="AA686" s="121"/>
      <c r="AB686" s="121"/>
      <c r="AC686" s="121"/>
      <c r="AD686" s="121"/>
    </row>
    <row r="687">
      <c r="A687" s="121"/>
      <c r="B687" s="121"/>
      <c r="C687" s="121"/>
      <c r="D687" s="121"/>
      <c r="E687" s="142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  <c r="AA687" s="121"/>
      <c r="AB687" s="121"/>
      <c r="AC687" s="121"/>
      <c r="AD687" s="121"/>
    </row>
    <row r="688">
      <c r="A688" s="121"/>
      <c r="B688" s="121"/>
      <c r="C688" s="121"/>
      <c r="D688" s="121"/>
      <c r="E688" s="142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  <c r="AA688" s="121"/>
      <c r="AB688" s="121"/>
      <c r="AC688" s="121"/>
      <c r="AD688" s="121"/>
    </row>
    <row r="689">
      <c r="A689" s="121"/>
      <c r="B689" s="121"/>
      <c r="C689" s="121"/>
      <c r="D689" s="121"/>
      <c r="E689" s="142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  <c r="AA689" s="121"/>
      <c r="AB689" s="121"/>
      <c r="AC689" s="121"/>
      <c r="AD689" s="121"/>
    </row>
    <row r="690">
      <c r="A690" s="121"/>
      <c r="B690" s="121"/>
      <c r="C690" s="121"/>
      <c r="D690" s="121"/>
      <c r="E690" s="142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</row>
    <row r="691">
      <c r="A691" s="121"/>
      <c r="B691" s="121"/>
      <c r="C691" s="121"/>
      <c r="D691" s="121"/>
      <c r="E691" s="142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</row>
    <row r="692">
      <c r="A692" s="121"/>
      <c r="B692" s="121"/>
      <c r="C692" s="121"/>
      <c r="D692" s="121"/>
      <c r="E692" s="142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  <c r="AA692" s="121"/>
      <c r="AB692" s="121"/>
      <c r="AC692" s="121"/>
      <c r="AD692" s="121"/>
    </row>
    <row r="693">
      <c r="A693" s="121"/>
      <c r="B693" s="121"/>
      <c r="C693" s="121"/>
      <c r="D693" s="121"/>
      <c r="E693" s="142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</row>
    <row r="694">
      <c r="A694" s="121"/>
      <c r="B694" s="121"/>
      <c r="C694" s="121"/>
      <c r="D694" s="121"/>
      <c r="E694" s="142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</row>
    <row r="695">
      <c r="A695" s="121"/>
      <c r="B695" s="121"/>
      <c r="C695" s="121"/>
      <c r="D695" s="121"/>
      <c r="E695" s="142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</row>
    <row r="696">
      <c r="A696" s="121"/>
      <c r="B696" s="121"/>
      <c r="C696" s="121"/>
      <c r="D696" s="121"/>
      <c r="E696" s="142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</row>
    <row r="697">
      <c r="A697" s="121"/>
      <c r="B697" s="121"/>
      <c r="C697" s="121"/>
      <c r="D697" s="121"/>
      <c r="E697" s="142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</row>
    <row r="698">
      <c r="A698" s="121"/>
      <c r="B698" s="121"/>
      <c r="C698" s="121"/>
      <c r="D698" s="121"/>
      <c r="E698" s="142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</row>
    <row r="699">
      <c r="A699" s="121"/>
      <c r="B699" s="121"/>
      <c r="C699" s="121"/>
      <c r="D699" s="121"/>
      <c r="E699" s="142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</row>
    <row r="700">
      <c r="A700" s="121"/>
      <c r="B700" s="121"/>
      <c r="C700" s="121"/>
      <c r="D700" s="121"/>
      <c r="E700" s="142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</row>
    <row r="701">
      <c r="A701" s="121"/>
      <c r="B701" s="121"/>
      <c r="C701" s="121"/>
      <c r="D701" s="121"/>
      <c r="E701" s="142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</row>
    <row r="702">
      <c r="A702" s="121"/>
      <c r="B702" s="121"/>
      <c r="C702" s="121"/>
      <c r="D702" s="121"/>
      <c r="E702" s="142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</row>
    <row r="703">
      <c r="A703" s="121"/>
      <c r="B703" s="121"/>
      <c r="C703" s="121"/>
      <c r="D703" s="121"/>
      <c r="E703" s="142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</row>
    <row r="704">
      <c r="A704" s="121"/>
      <c r="B704" s="121"/>
      <c r="C704" s="121"/>
      <c r="D704" s="121"/>
      <c r="E704" s="142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  <c r="AA704" s="121"/>
      <c r="AB704" s="121"/>
      <c r="AC704" s="121"/>
      <c r="AD704" s="121"/>
    </row>
    <row r="705">
      <c r="A705" s="121"/>
      <c r="B705" s="121"/>
      <c r="C705" s="121"/>
      <c r="D705" s="121"/>
      <c r="E705" s="142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  <c r="AA705" s="121"/>
      <c r="AB705" s="121"/>
      <c r="AC705" s="121"/>
      <c r="AD705" s="121"/>
    </row>
    <row r="706">
      <c r="A706" s="121"/>
      <c r="B706" s="121"/>
      <c r="C706" s="121"/>
      <c r="D706" s="121"/>
      <c r="E706" s="142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  <c r="AA706" s="121"/>
      <c r="AB706" s="121"/>
      <c r="AC706" s="121"/>
      <c r="AD706" s="121"/>
    </row>
    <row r="707">
      <c r="A707" s="121"/>
      <c r="B707" s="121"/>
      <c r="C707" s="121"/>
      <c r="D707" s="121"/>
      <c r="E707" s="142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  <c r="AA707" s="121"/>
      <c r="AB707" s="121"/>
      <c r="AC707" s="121"/>
      <c r="AD707" s="121"/>
    </row>
    <row r="708">
      <c r="A708" s="121"/>
      <c r="B708" s="121"/>
      <c r="C708" s="121"/>
      <c r="D708" s="121"/>
      <c r="E708" s="142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  <c r="AA708" s="121"/>
      <c r="AB708" s="121"/>
      <c r="AC708" s="121"/>
      <c r="AD708" s="121"/>
    </row>
    <row r="709">
      <c r="A709" s="121"/>
      <c r="B709" s="121"/>
      <c r="C709" s="121"/>
      <c r="D709" s="121"/>
      <c r="E709" s="142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  <c r="AA709" s="121"/>
      <c r="AB709" s="121"/>
      <c r="AC709" s="121"/>
      <c r="AD709" s="121"/>
    </row>
    <row r="710">
      <c r="A710" s="121"/>
      <c r="B710" s="121"/>
      <c r="C710" s="121"/>
      <c r="D710" s="121"/>
      <c r="E710" s="142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  <c r="AA710" s="121"/>
      <c r="AB710" s="121"/>
      <c r="AC710" s="121"/>
      <c r="AD710" s="121"/>
    </row>
    <row r="711">
      <c r="A711" s="121"/>
      <c r="B711" s="121"/>
      <c r="C711" s="121"/>
      <c r="D711" s="121"/>
      <c r="E711" s="142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  <c r="AA711" s="121"/>
      <c r="AB711" s="121"/>
      <c r="AC711" s="121"/>
      <c r="AD711" s="121"/>
    </row>
    <row r="712">
      <c r="A712" s="121"/>
      <c r="B712" s="121"/>
      <c r="C712" s="121"/>
      <c r="D712" s="121"/>
      <c r="E712" s="142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  <c r="AA712" s="121"/>
      <c r="AB712" s="121"/>
      <c r="AC712" s="121"/>
      <c r="AD712" s="121"/>
    </row>
    <row r="713">
      <c r="A713" s="121"/>
      <c r="B713" s="121"/>
      <c r="C713" s="121"/>
      <c r="D713" s="121"/>
      <c r="E713" s="142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  <c r="AA713" s="121"/>
      <c r="AB713" s="121"/>
      <c r="AC713" s="121"/>
      <c r="AD713" s="121"/>
    </row>
    <row r="714">
      <c r="A714" s="121"/>
      <c r="B714" s="121"/>
      <c r="C714" s="121"/>
      <c r="D714" s="121"/>
      <c r="E714" s="142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  <c r="AA714" s="121"/>
      <c r="AB714" s="121"/>
      <c r="AC714" s="121"/>
      <c r="AD714" s="121"/>
    </row>
    <row r="715">
      <c r="A715" s="121"/>
      <c r="B715" s="121"/>
      <c r="C715" s="121"/>
      <c r="D715" s="121"/>
      <c r="E715" s="142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  <c r="AA715" s="121"/>
      <c r="AB715" s="121"/>
      <c r="AC715" s="121"/>
      <c r="AD715" s="121"/>
    </row>
    <row r="716">
      <c r="A716" s="121"/>
      <c r="B716" s="121"/>
      <c r="C716" s="121"/>
      <c r="D716" s="121"/>
      <c r="E716" s="142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  <c r="AA716" s="121"/>
      <c r="AB716" s="121"/>
      <c r="AC716" s="121"/>
      <c r="AD716" s="121"/>
    </row>
    <row r="717">
      <c r="A717" s="121"/>
      <c r="B717" s="121"/>
      <c r="C717" s="121"/>
      <c r="D717" s="121"/>
      <c r="E717" s="142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  <c r="AA717" s="121"/>
      <c r="AB717" s="121"/>
      <c r="AC717" s="121"/>
      <c r="AD717" s="121"/>
    </row>
    <row r="718">
      <c r="A718" s="121"/>
      <c r="B718" s="121"/>
      <c r="C718" s="121"/>
      <c r="D718" s="121"/>
      <c r="E718" s="142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  <c r="AA718" s="121"/>
      <c r="AB718" s="121"/>
      <c r="AC718" s="121"/>
      <c r="AD718" s="121"/>
    </row>
    <row r="719">
      <c r="A719" s="121"/>
      <c r="B719" s="121"/>
      <c r="C719" s="121"/>
      <c r="D719" s="121"/>
      <c r="E719" s="142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  <c r="AA719" s="121"/>
      <c r="AB719" s="121"/>
      <c r="AC719" s="121"/>
      <c r="AD719" s="121"/>
    </row>
    <row r="720">
      <c r="A720" s="121"/>
      <c r="B720" s="121"/>
      <c r="C720" s="121"/>
      <c r="D720" s="121"/>
      <c r="E720" s="142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  <c r="AA720" s="121"/>
      <c r="AB720" s="121"/>
      <c r="AC720" s="121"/>
      <c r="AD720" s="121"/>
    </row>
    <row r="721">
      <c r="A721" s="121"/>
      <c r="B721" s="121"/>
      <c r="C721" s="121"/>
      <c r="D721" s="121"/>
      <c r="E721" s="142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  <c r="AA721" s="121"/>
      <c r="AB721" s="121"/>
      <c r="AC721" s="121"/>
      <c r="AD721" s="121"/>
    </row>
    <row r="722">
      <c r="A722" s="121"/>
      <c r="B722" s="121"/>
      <c r="C722" s="121"/>
      <c r="D722" s="121"/>
      <c r="E722" s="142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  <c r="AA722" s="121"/>
      <c r="AB722" s="121"/>
      <c r="AC722" s="121"/>
      <c r="AD722" s="121"/>
    </row>
    <row r="723">
      <c r="A723" s="121"/>
      <c r="B723" s="121"/>
      <c r="C723" s="121"/>
      <c r="D723" s="121"/>
      <c r="E723" s="142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  <c r="AA723" s="121"/>
      <c r="AB723" s="121"/>
      <c r="AC723" s="121"/>
      <c r="AD723" s="121"/>
    </row>
    <row r="724">
      <c r="A724" s="121"/>
      <c r="B724" s="121"/>
      <c r="C724" s="121"/>
      <c r="D724" s="121"/>
      <c r="E724" s="142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  <c r="AA724" s="121"/>
      <c r="AB724" s="121"/>
      <c r="AC724" s="121"/>
      <c r="AD724" s="121"/>
    </row>
    <row r="725">
      <c r="A725" s="121"/>
      <c r="B725" s="121"/>
      <c r="C725" s="121"/>
      <c r="D725" s="121"/>
      <c r="E725" s="142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  <c r="AA725" s="121"/>
      <c r="AB725" s="121"/>
      <c r="AC725" s="121"/>
      <c r="AD725" s="121"/>
    </row>
    <row r="726">
      <c r="A726" s="121"/>
      <c r="B726" s="121"/>
      <c r="C726" s="121"/>
      <c r="D726" s="121"/>
      <c r="E726" s="142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  <c r="AA726" s="121"/>
      <c r="AB726" s="121"/>
      <c r="AC726" s="121"/>
      <c r="AD726" s="121"/>
    </row>
    <row r="727">
      <c r="A727" s="121"/>
      <c r="B727" s="121"/>
      <c r="C727" s="121"/>
      <c r="D727" s="121"/>
      <c r="E727" s="142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  <c r="AA727" s="121"/>
      <c r="AB727" s="121"/>
      <c r="AC727" s="121"/>
      <c r="AD727" s="121"/>
    </row>
    <row r="728">
      <c r="A728" s="121"/>
      <c r="B728" s="121"/>
      <c r="C728" s="121"/>
      <c r="D728" s="121"/>
      <c r="E728" s="142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</row>
    <row r="729">
      <c r="A729" s="121"/>
      <c r="B729" s="121"/>
      <c r="C729" s="121"/>
      <c r="D729" s="121"/>
      <c r="E729" s="142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</row>
    <row r="730">
      <c r="A730" s="121"/>
      <c r="B730" s="121"/>
      <c r="C730" s="121"/>
      <c r="D730" s="121"/>
      <c r="E730" s="142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  <c r="AA730" s="121"/>
      <c r="AB730" s="121"/>
      <c r="AC730" s="121"/>
      <c r="AD730" s="121"/>
    </row>
    <row r="731">
      <c r="A731" s="121"/>
      <c r="B731" s="121"/>
      <c r="C731" s="121"/>
      <c r="D731" s="121"/>
      <c r="E731" s="142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</row>
    <row r="732">
      <c r="A732" s="121"/>
      <c r="B732" s="121"/>
      <c r="C732" s="121"/>
      <c r="D732" s="121"/>
      <c r="E732" s="142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</row>
    <row r="733">
      <c r="A733" s="121"/>
      <c r="B733" s="121"/>
      <c r="C733" s="121"/>
      <c r="D733" s="121"/>
      <c r="E733" s="142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</row>
    <row r="734">
      <c r="A734" s="121"/>
      <c r="B734" s="121"/>
      <c r="C734" s="121"/>
      <c r="D734" s="121"/>
      <c r="E734" s="142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</row>
    <row r="735">
      <c r="A735" s="121"/>
      <c r="B735" s="121"/>
      <c r="C735" s="121"/>
      <c r="D735" s="121"/>
      <c r="E735" s="142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</row>
    <row r="736">
      <c r="A736" s="121"/>
      <c r="B736" s="121"/>
      <c r="C736" s="121"/>
      <c r="D736" s="121"/>
      <c r="E736" s="142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</row>
    <row r="737">
      <c r="A737" s="121"/>
      <c r="B737" s="121"/>
      <c r="C737" s="121"/>
      <c r="D737" s="121"/>
      <c r="E737" s="142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</row>
    <row r="738">
      <c r="A738" s="121"/>
      <c r="B738" s="121"/>
      <c r="C738" s="121"/>
      <c r="D738" s="121"/>
      <c r="E738" s="142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</row>
    <row r="739">
      <c r="A739" s="121"/>
      <c r="B739" s="121"/>
      <c r="C739" s="121"/>
      <c r="D739" s="121"/>
      <c r="E739" s="142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</row>
    <row r="740">
      <c r="A740" s="121"/>
      <c r="B740" s="121"/>
      <c r="C740" s="121"/>
      <c r="D740" s="121"/>
      <c r="E740" s="142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</row>
    <row r="741">
      <c r="A741" s="121"/>
      <c r="B741" s="121"/>
      <c r="C741" s="121"/>
      <c r="D741" s="121"/>
      <c r="E741" s="142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</row>
    <row r="742">
      <c r="A742" s="121"/>
      <c r="B742" s="121"/>
      <c r="C742" s="121"/>
      <c r="D742" s="121"/>
      <c r="E742" s="142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  <c r="AA742" s="121"/>
      <c r="AB742" s="121"/>
      <c r="AC742" s="121"/>
      <c r="AD742" s="121"/>
    </row>
    <row r="743">
      <c r="A743" s="121"/>
      <c r="B743" s="121"/>
      <c r="C743" s="121"/>
      <c r="D743" s="121"/>
      <c r="E743" s="142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  <c r="AA743" s="121"/>
      <c r="AB743" s="121"/>
      <c r="AC743" s="121"/>
      <c r="AD743" s="121"/>
    </row>
    <row r="744">
      <c r="A744" s="121"/>
      <c r="B744" s="121"/>
      <c r="C744" s="121"/>
      <c r="D744" s="121"/>
      <c r="E744" s="142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  <c r="AA744" s="121"/>
      <c r="AB744" s="121"/>
      <c r="AC744" s="121"/>
      <c r="AD744" s="121"/>
    </row>
    <row r="745">
      <c r="A745" s="121"/>
      <c r="B745" s="121"/>
      <c r="C745" s="121"/>
      <c r="D745" s="121"/>
      <c r="E745" s="142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  <c r="AA745" s="121"/>
      <c r="AB745" s="121"/>
      <c r="AC745" s="121"/>
      <c r="AD745" s="121"/>
    </row>
    <row r="746">
      <c r="A746" s="121"/>
      <c r="B746" s="121"/>
      <c r="C746" s="121"/>
      <c r="D746" s="121"/>
      <c r="E746" s="142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  <c r="AA746" s="121"/>
      <c r="AB746" s="121"/>
      <c r="AC746" s="121"/>
      <c r="AD746" s="121"/>
    </row>
    <row r="747">
      <c r="A747" s="121"/>
      <c r="B747" s="121"/>
      <c r="C747" s="121"/>
      <c r="D747" s="121"/>
      <c r="E747" s="142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  <c r="AA747" s="121"/>
      <c r="AB747" s="121"/>
      <c r="AC747" s="121"/>
      <c r="AD747" s="121"/>
    </row>
    <row r="748">
      <c r="A748" s="121"/>
      <c r="B748" s="121"/>
      <c r="C748" s="121"/>
      <c r="D748" s="121"/>
      <c r="E748" s="142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  <c r="AA748" s="121"/>
      <c r="AB748" s="121"/>
      <c r="AC748" s="121"/>
      <c r="AD748" s="121"/>
    </row>
    <row r="749">
      <c r="A749" s="121"/>
      <c r="B749" s="121"/>
      <c r="C749" s="121"/>
      <c r="D749" s="121"/>
      <c r="E749" s="142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  <c r="AA749" s="121"/>
      <c r="AB749" s="121"/>
      <c r="AC749" s="121"/>
      <c r="AD749" s="121"/>
    </row>
    <row r="750">
      <c r="A750" s="121"/>
      <c r="B750" s="121"/>
      <c r="C750" s="121"/>
      <c r="D750" s="121"/>
      <c r="E750" s="142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  <c r="AA750" s="121"/>
      <c r="AB750" s="121"/>
      <c r="AC750" s="121"/>
      <c r="AD750" s="121"/>
    </row>
    <row r="751">
      <c r="A751" s="121"/>
      <c r="B751" s="121"/>
      <c r="C751" s="121"/>
      <c r="D751" s="121"/>
      <c r="E751" s="142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  <c r="AA751" s="121"/>
      <c r="AB751" s="121"/>
      <c r="AC751" s="121"/>
      <c r="AD751" s="121"/>
    </row>
    <row r="752">
      <c r="A752" s="121"/>
      <c r="B752" s="121"/>
      <c r="C752" s="121"/>
      <c r="D752" s="121"/>
      <c r="E752" s="142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  <c r="AA752" s="121"/>
      <c r="AB752" s="121"/>
      <c r="AC752" s="121"/>
      <c r="AD752" s="121"/>
    </row>
    <row r="753">
      <c r="A753" s="121"/>
      <c r="B753" s="121"/>
      <c r="C753" s="121"/>
      <c r="D753" s="121"/>
      <c r="E753" s="142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  <c r="AA753" s="121"/>
      <c r="AB753" s="121"/>
      <c r="AC753" s="121"/>
      <c r="AD753" s="121"/>
    </row>
    <row r="754">
      <c r="A754" s="121"/>
      <c r="B754" s="121"/>
      <c r="C754" s="121"/>
      <c r="D754" s="121"/>
      <c r="E754" s="142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  <c r="AA754" s="121"/>
      <c r="AB754" s="121"/>
      <c r="AC754" s="121"/>
      <c r="AD754" s="121"/>
    </row>
    <row r="755">
      <c r="A755" s="121"/>
      <c r="B755" s="121"/>
      <c r="C755" s="121"/>
      <c r="D755" s="121"/>
      <c r="E755" s="142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  <c r="AA755" s="121"/>
      <c r="AB755" s="121"/>
      <c r="AC755" s="121"/>
      <c r="AD755" s="121"/>
    </row>
    <row r="756">
      <c r="A756" s="121"/>
      <c r="B756" s="121"/>
      <c r="C756" s="121"/>
      <c r="D756" s="121"/>
      <c r="E756" s="142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  <c r="AA756" s="121"/>
      <c r="AB756" s="121"/>
      <c r="AC756" s="121"/>
      <c r="AD756" s="121"/>
    </row>
    <row r="757">
      <c r="A757" s="121"/>
      <c r="B757" s="121"/>
      <c r="C757" s="121"/>
      <c r="D757" s="121"/>
      <c r="E757" s="142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  <c r="AA757" s="121"/>
      <c r="AB757" s="121"/>
      <c r="AC757" s="121"/>
      <c r="AD757" s="121"/>
    </row>
    <row r="758">
      <c r="A758" s="121"/>
      <c r="B758" s="121"/>
      <c r="C758" s="121"/>
      <c r="D758" s="121"/>
      <c r="E758" s="142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  <c r="AA758" s="121"/>
      <c r="AB758" s="121"/>
      <c r="AC758" s="121"/>
      <c r="AD758" s="121"/>
    </row>
    <row r="759">
      <c r="A759" s="121"/>
      <c r="B759" s="121"/>
      <c r="C759" s="121"/>
      <c r="D759" s="121"/>
      <c r="E759" s="142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  <c r="AA759" s="121"/>
      <c r="AB759" s="121"/>
      <c r="AC759" s="121"/>
      <c r="AD759" s="121"/>
    </row>
    <row r="760">
      <c r="A760" s="121"/>
      <c r="B760" s="121"/>
      <c r="C760" s="121"/>
      <c r="D760" s="121"/>
      <c r="E760" s="142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  <c r="AA760" s="121"/>
      <c r="AB760" s="121"/>
      <c r="AC760" s="121"/>
      <c r="AD760" s="121"/>
    </row>
    <row r="761">
      <c r="A761" s="121"/>
      <c r="B761" s="121"/>
      <c r="C761" s="121"/>
      <c r="D761" s="121"/>
      <c r="E761" s="142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  <c r="AA761" s="121"/>
      <c r="AB761" s="121"/>
      <c r="AC761" s="121"/>
      <c r="AD761" s="121"/>
    </row>
    <row r="762">
      <c r="A762" s="121"/>
      <c r="B762" s="121"/>
      <c r="C762" s="121"/>
      <c r="D762" s="121"/>
      <c r="E762" s="142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  <c r="AA762" s="121"/>
      <c r="AB762" s="121"/>
      <c r="AC762" s="121"/>
      <c r="AD762" s="121"/>
    </row>
    <row r="763">
      <c r="A763" s="121"/>
      <c r="B763" s="121"/>
      <c r="C763" s="121"/>
      <c r="D763" s="121"/>
      <c r="E763" s="142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  <c r="AA763" s="121"/>
      <c r="AB763" s="121"/>
      <c r="AC763" s="121"/>
      <c r="AD763" s="121"/>
    </row>
    <row r="764">
      <c r="A764" s="121"/>
      <c r="B764" s="121"/>
      <c r="C764" s="121"/>
      <c r="D764" s="121"/>
      <c r="E764" s="142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  <c r="AA764" s="121"/>
      <c r="AB764" s="121"/>
      <c r="AC764" s="121"/>
      <c r="AD764" s="121"/>
    </row>
    <row r="765">
      <c r="A765" s="121"/>
      <c r="B765" s="121"/>
      <c r="C765" s="121"/>
      <c r="D765" s="121"/>
      <c r="E765" s="142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  <c r="AA765" s="121"/>
      <c r="AB765" s="121"/>
      <c r="AC765" s="121"/>
      <c r="AD765" s="121"/>
    </row>
    <row r="766">
      <c r="A766" s="121"/>
      <c r="B766" s="121"/>
      <c r="C766" s="121"/>
      <c r="D766" s="121"/>
      <c r="E766" s="142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</row>
    <row r="767">
      <c r="A767" s="121"/>
      <c r="B767" s="121"/>
      <c r="C767" s="121"/>
      <c r="D767" s="121"/>
      <c r="E767" s="142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</row>
    <row r="768">
      <c r="A768" s="121"/>
      <c r="B768" s="121"/>
      <c r="C768" s="121"/>
      <c r="D768" s="121"/>
      <c r="E768" s="142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  <c r="AA768" s="121"/>
      <c r="AB768" s="121"/>
      <c r="AC768" s="121"/>
      <c r="AD768" s="121"/>
    </row>
    <row r="769">
      <c r="A769" s="121"/>
      <c r="B769" s="121"/>
      <c r="C769" s="121"/>
      <c r="D769" s="121"/>
      <c r="E769" s="142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</row>
    <row r="770">
      <c r="A770" s="121"/>
      <c r="B770" s="121"/>
      <c r="C770" s="121"/>
      <c r="D770" s="121"/>
      <c r="E770" s="142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</row>
    <row r="771">
      <c r="A771" s="121"/>
      <c r="B771" s="121"/>
      <c r="C771" s="121"/>
      <c r="D771" s="121"/>
      <c r="E771" s="142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</row>
    <row r="772">
      <c r="A772" s="121"/>
      <c r="B772" s="121"/>
      <c r="C772" s="121"/>
      <c r="D772" s="121"/>
      <c r="E772" s="142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</row>
    <row r="773">
      <c r="A773" s="121"/>
      <c r="B773" s="121"/>
      <c r="C773" s="121"/>
      <c r="D773" s="121"/>
      <c r="E773" s="142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</row>
    <row r="774">
      <c r="A774" s="121"/>
      <c r="B774" s="121"/>
      <c r="C774" s="121"/>
      <c r="D774" s="121"/>
      <c r="E774" s="142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</row>
    <row r="775">
      <c r="A775" s="121"/>
      <c r="B775" s="121"/>
      <c r="C775" s="121"/>
      <c r="D775" s="121"/>
      <c r="E775" s="142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</row>
    <row r="776">
      <c r="A776" s="121"/>
      <c r="B776" s="121"/>
      <c r="C776" s="121"/>
      <c r="D776" s="121"/>
      <c r="E776" s="142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</row>
    <row r="777">
      <c r="A777" s="121"/>
      <c r="B777" s="121"/>
      <c r="C777" s="121"/>
      <c r="D777" s="121"/>
      <c r="E777" s="142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</row>
    <row r="778">
      <c r="A778" s="121"/>
      <c r="B778" s="121"/>
      <c r="C778" s="121"/>
      <c r="D778" s="121"/>
      <c r="E778" s="142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</row>
    <row r="779">
      <c r="A779" s="121"/>
      <c r="B779" s="121"/>
      <c r="C779" s="121"/>
      <c r="D779" s="121"/>
      <c r="E779" s="142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</row>
    <row r="780">
      <c r="A780" s="121"/>
      <c r="B780" s="121"/>
      <c r="C780" s="121"/>
      <c r="D780" s="121"/>
      <c r="E780" s="142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  <c r="AA780" s="121"/>
      <c r="AB780" s="121"/>
      <c r="AC780" s="121"/>
      <c r="AD780" s="121"/>
    </row>
    <row r="781">
      <c r="A781" s="121"/>
      <c r="B781" s="121"/>
      <c r="C781" s="121"/>
      <c r="D781" s="121"/>
      <c r="E781" s="142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  <c r="AA781" s="121"/>
      <c r="AB781" s="121"/>
      <c r="AC781" s="121"/>
      <c r="AD781" s="121"/>
    </row>
    <row r="782">
      <c r="A782" s="121"/>
      <c r="B782" s="121"/>
      <c r="C782" s="121"/>
      <c r="D782" s="121"/>
      <c r="E782" s="142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  <c r="AA782" s="121"/>
      <c r="AB782" s="121"/>
      <c r="AC782" s="121"/>
      <c r="AD782" s="121"/>
    </row>
    <row r="783">
      <c r="A783" s="121"/>
      <c r="B783" s="121"/>
      <c r="C783" s="121"/>
      <c r="D783" s="121"/>
      <c r="E783" s="142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  <c r="AA783" s="121"/>
      <c r="AB783" s="121"/>
      <c r="AC783" s="121"/>
      <c r="AD783" s="121"/>
    </row>
    <row r="784">
      <c r="A784" s="121"/>
      <c r="B784" s="121"/>
      <c r="C784" s="121"/>
      <c r="D784" s="121"/>
      <c r="E784" s="142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  <c r="AA784" s="121"/>
      <c r="AB784" s="121"/>
      <c r="AC784" s="121"/>
      <c r="AD784" s="121"/>
    </row>
    <row r="785">
      <c r="A785" s="121"/>
      <c r="B785" s="121"/>
      <c r="C785" s="121"/>
      <c r="D785" s="121"/>
      <c r="E785" s="142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  <c r="AA785" s="121"/>
      <c r="AB785" s="121"/>
      <c r="AC785" s="121"/>
      <c r="AD785" s="121"/>
    </row>
    <row r="786">
      <c r="A786" s="121"/>
      <c r="B786" s="121"/>
      <c r="C786" s="121"/>
      <c r="D786" s="121"/>
      <c r="E786" s="142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  <c r="AA786" s="121"/>
      <c r="AB786" s="121"/>
      <c r="AC786" s="121"/>
      <c r="AD786" s="121"/>
    </row>
    <row r="787">
      <c r="A787" s="121"/>
      <c r="B787" s="121"/>
      <c r="C787" s="121"/>
      <c r="D787" s="121"/>
      <c r="E787" s="142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  <c r="AA787" s="121"/>
      <c r="AB787" s="121"/>
      <c r="AC787" s="121"/>
      <c r="AD787" s="121"/>
    </row>
    <row r="788">
      <c r="A788" s="121"/>
      <c r="B788" s="121"/>
      <c r="C788" s="121"/>
      <c r="D788" s="121"/>
      <c r="E788" s="142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  <c r="AA788" s="121"/>
      <c r="AB788" s="121"/>
      <c r="AC788" s="121"/>
      <c r="AD788" s="121"/>
    </row>
    <row r="789">
      <c r="A789" s="121"/>
      <c r="B789" s="121"/>
      <c r="C789" s="121"/>
      <c r="D789" s="121"/>
      <c r="E789" s="142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  <c r="AA789" s="121"/>
      <c r="AB789" s="121"/>
      <c r="AC789" s="121"/>
      <c r="AD789" s="121"/>
    </row>
    <row r="790">
      <c r="A790" s="121"/>
      <c r="B790" s="121"/>
      <c r="C790" s="121"/>
      <c r="D790" s="121"/>
      <c r="E790" s="142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  <c r="AA790" s="121"/>
      <c r="AB790" s="121"/>
      <c r="AC790" s="121"/>
      <c r="AD790" s="121"/>
    </row>
    <row r="791">
      <c r="A791" s="121"/>
      <c r="B791" s="121"/>
      <c r="C791" s="121"/>
      <c r="D791" s="121"/>
      <c r="E791" s="142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  <c r="AA791" s="121"/>
      <c r="AB791" s="121"/>
      <c r="AC791" s="121"/>
      <c r="AD791" s="121"/>
    </row>
    <row r="792">
      <c r="A792" s="121"/>
      <c r="B792" s="121"/>
      <c r="C792" s="121"/>
      <c r="D792" s="121"/>
      <c r="E792" s="142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  <c r="AA792" s="121"/>
      <c r="AB792" s="121"/>
      <c r="AC792" s="121"/>
      <c r="AD792" s="121"/>
    </row>
    <row r="793">
      <c r="A793" s="121"/>
      <c r="B793" s="121"/>
      <c r="C793" s="121"/>
      <c r="D793" s="121"/>
      <c r="E793" s="142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  <c r="AA793" s="121"/>
      <c r="AB793" s="121"/>
      <c r="AC793" s="121"/>
      <c r="AD793" s="121"/>
    </row>
    <row r="794">
      <c r="A794" s="121"/>
      <c r="B794" s="121"/>
      <c r="C794" s="121"/>
      <c r="D794" s="121"/>
      <c r="E794" s="142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  <c r="AA794" s="121"/>
      <c r="AB794" s="121"/>
      <c r="AC794" s="121"/>
      <c r="AD794" s="121"/>
    </row>
    <row r="795">
      <c r="A795" s="121"/>
      <c r="B795" s="121"/>
      <c r="C795" s="121"/>
      <c r="D795" s="121"/>
      <c r="E795" s="142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  <c r="AA795" s="121"/>
      <c r="AB795" s="121"/>
      <c r="AC795" s="121"/>
      <c r="AD795" s="121"/>
    </row>
    <row r="796">
      <c r="A796" s="121"/>
      <c r="B796" s="121"/>
      <c r="C796" s="121"/>
      <c r="D796" s="121"/>
      <c r="E796" s="142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  <c r="AA796" s="121"/>
      <c r="AB796" s="121"/>
      <c r="AC796" s="121"/>
      <c r="AD796" s="121"/>
    </row>
    <row r="797">
      <c r="A797" s="121"/>
      <c r="B797" s="121"/>
      <c r="C797" s="121"/>
      <c r="D797" s="121"/>
      <c r="E797" s="142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  <c r="AA797" s="121"/>
      <c r="AB797" s="121"/>
      <c r="AC797" s="121"/>
      <c r="AD797" s="121"/>
    </row>
    <row r="798">
      <c r="A798" s="121"/>
      <c r="B798" s="121"/>
      <c r="C798" s="121"/>
      <c r="D798" s="121"/>
      <c r="E798" s="142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  <c r="AA798" s="121"/>
      <c r="AB798" s="121"/>
      <c r="AC798" s="121"/>
      <c r="AD798" s="121"/>
    </row>
    <row r="799">
      <c r="A799" s="121"/>
      <c r="B799" s="121"/>
      <c r="C799" s="121"/>
      <c r="D799" s="121"/>
      <c r="E799" s="142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  <c r="AA799" s="121"/>
      <c r="AB799" s="121"/>
      <c r="AC799" s="121"/>
      <c r="AD799" s="121"/>
    </row>
    <row r="800">
      <c r="A800" s="121"/>
      <c r="B800" s="121"/>
      <c r="C800" s="121"/>
      <c r="D800" s="121"/>
      <c r="E800" s="142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  <c r="AA800" s="121"/>
      <c r="AB800" s="121"/>
      <c r="AC800" s="121"/>
      <c r="AD800" s="121"/>
    </row>
    <row r="801">
      <c r="A801" s="121"/>
      <c r="B801" s="121"/>
      <c r="C801" s="121"/>
      <c r="D801" s="121"/>
      <c r="E801" s="142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  <c r="AA801" s="121"/>
      <c r="AB801" s="121"/>
      <c r="AC801" s="121"/>
      <c r="AD801" s="121"/>
    </row>
    <row r="802">
      <c r="A802" s="121"/>
      <c r="B802" s="121"/>
      <c r="C802" s="121"/>
      <c r="D802" s="121"/>
      <c r="E802" s="142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  <c r="AA802" s="121"/>
      <c r="AB802" s="121"/>
      <c r="AC802" s="121"/>
      <c r="AD802" s="121"/>
    </row>
    <row r="803">
      <c r="A803" s="121"/>
      <c r="B803" s="121"/>
      <c r="C803" s="121"/>
      <c r="D803" s="121"/>
      <c r="E803" s="142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  <c r="AA803" s="121"/>
      <c r="AB803" s="121"/>
      <c r="AC803" s="121"/>
      <c r="AD803" s="121"/>
    </row>
    <row r="804">
      <c r="A804" s="121"/>
      <c r="B804" s="121"/>
      <c r="C804" s="121"/>
      <c r="D804" s="121"/>
      <c r="E804" s="142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</row>
    <row r="805">
      <c r="A805" s="121"/>
      <c r="B805" s="121"/>
      <c r="C805" s="121"/>
      <c r="D805" s="121"/>
      <c r="E805" s="142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</row>
    <row r="806">
      <c r="A806" s="121"/>
      <c r="B806" s="121"/>
      <c r="C806" s="121"/>
      <c r="D806" s="121"/>
      <c r="E806" s="142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  <c r="AA806" s="121"/>
      <c r="AB806" s="121"/>
      <c r="AC806" s="121"/>
      <c r="AD806" s="121"/>
    </row>
    <row r="807">
      <c r="A807" s="121"/>
      <c r="B807" s="121"/>
      <c r="C807" s="121"/>
      <c r="D807" s="121"/>
      <c r="E807" s="142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</row>
    <row r="808">
      <c r="A808" s="121"/>
      <c r="B808" s="121"/>
      <c r="C808" s="121"/>
      <c r="D808" s="121"/>
      <c r="E808" s="142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</row>
    <row r="809">
      <c r="A809" s="121"/>
      <c r="B809" s="121"/>
      <c r="C809" s="121"/>
      <c r="D809" s="121"/>
      <c r="E809" s="142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</row>
    <row r="810">
      <c r="A810" s="121"/>
      <c r="B810" s="121"/>
      <c r="C810" s="121"/>
      <c r="D810" s="121"/>
      <c r="E810" s="142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</row>
    <row r="811">
      <c r="A811" s="121"/>
      <c r="B811" s="121"/>
      <c r="C811" s="121"/>
      <c r="D811" s="121"/>
      <c r="E811" s="142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</row>
    <row r="812">
      <c r="A812" s="121"/>
      <c r="B812" s="121"/>
      <c r="C812" s="121"/>
      <c r="D812" s="121"/>
      <c r="E812" s="142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</row>
    <row r="813">
      <c r="A813" s="121"/>
      <c r="B813" s="121"/>
      <c r="C813" s="121"/>
      <c r="D813" s="121"/>
      <c r="E813" s="142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</row>
    <row r="814">
      <c r="A814" s="121"/>
      <c r="B814" s="121"/>
      <c r="C814" s="121"/>
      <c r="D814" s="121"/>
      <c r="E814" s="142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</row>
    <row r="815">
      <c r="A815" s="121"/>
      <c r="B815" s="121"/>
      <c r="C815" s="121"/>
      <c r="D815" s="121"/>
      <c r="E815" s="142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</row>
    <row r="816">
      <c r="A816" s="121"/>
      <c r="B816" s="121"/>
      <c r="C816" s="121"/>
      <c r="D816" s="121"/>
      <c r="E816" s="142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</row>
    <row r="817">
      <c r="A817" s="121"/>
      <c r="B817" s="121"/>
      <c r="C817" s="121"/>
      <c r="D817" s="121"/>
      <c r="E817" s="142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</row>
    <row r="818">
      <c r="A818" s="121"/>
      <c r="B818" s="121"/>
      <c r="C818" s="121"/>
      <c r="D818" s="121"/>
      <c r="E818" s="142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  <c r="AA818" s="121"/>
      <c r="AB818" s="121"/>
      <c r="AC818" s="121"/>
      <c r="AD818" s="121"/>
    </row>
    <row r="819">
      <c r="A819" s="121"/>
      <c r="B819" s="121"/>
      <c r="C819" s="121"/>
      <c r="D819" s="121"/>
      <c r="E819" s="142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  <c r="AA819" s="121"/>
      <c r="AB819" s="121"/>
      <c r="AC819" s="121"/>
      <c r="AD819" s="121"/>
    </row>
    <row r="820">
      <c r="A820" s="121"/>
      <c r="B820" s="121"/>
      <c r="C820" s="121"/>
      <c r="D820" s="121"/>
      <c r="E820" s="142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  <c r="AA820" s="121"/>
      <c r="AB820" s="121"/>
      <c r="AC820" s="121"/>
      <c r="AD820" s="121"/>
    </row>
    <row r="821">
      <c r="A821" s="121"/>
      <c r="B821" s="121"/>
      <c r="C821" s="121"/>
      <c r="D821" s="121"/>
      <c r="E821" s="142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  <c r="AA821" s="121"/>
      <c r="AB821" s="121"/>
      <c r="AC821" s="121"/>
      <c r="AD821" s="121"/>
    </row>
    <row r="822">
      <c r="A822" s="121"/>
      <c r="B822" s="121"/>
      <c r="C822" s="121"/>
      <c r="D822" s="121"/>
      <c r="E822" s="142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  <c r="AA822" s="121"/>
      <c r="AB822" s="121"/>
      <c r="AC822" s="121"/>
      <c r="AD822" s="121"/>
    </row>
    <row r="823">
      <c r="A823" s="121"/>
      <c r="B823" s="121"/>
      <c r="C823" s="121"/>
      <c r="D823" s="121"/>
      <c r="E823" s="142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  <c r="AA823" s="121"/>
      <c r="AB823" s="121"/>
      <c r="AC823" s="121"/>
      <c r="AD823" s="121"/>
    </row>
    <row r="824">
      <c r="A824" s="121"/>
      <c r="B824" s="121"/>
      <c r="C824" s="121"/>
      <c r="D824" s="121"/>
      <c r="E824" s="142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  <c r="AA824" s="121"/>
      <c r="AB824" s="121"/>
      <c r="AC824" s="121"/>
      <c r="AD824" s="121"/>
    </row>
    <row r="825">
      <c r="A825" s="121"/>
      <c r="B825" s="121"/>
      <c r="C825" s="121"/>
      <c r="D825" s="121"/>
      <c r="E825" s="142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  <c r="AA825" s="121"/>
      <c r="AB825" s="121"/>
      <c r="AC825" s="121"/>
      <c r="AD825" s="121"/>
    </row>
    <row r="826">
      <c r="A826" s="121"/>
      <c r="B826" s="121"/>
      <c r="C826" s="121"/>
      <c r="D826" s="121"/>
      <c r="E826" s="142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  <c r="AA826" s="121"/>
      <c r="AB826" s="121"/>
      <c r="AC826" s="121"/>
      <c r="AD826" s="121"/>
    </row>
    <row r="827">
      <c r="A827" s="121"/>
      <c r="B827" s="121"/>
      <c r="C827" s="121"/>
      <c r="D827" s="121"/>
      <c r="E827" s="142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  <c r="AA827" s="121"/>
      <c r="AB827" s="121"/>
      <c r="AC827" s="121"/>
      <c r="AD827" s="121"/>
    </row>
    <row r="828">
      <c r="A828" s="121"/>
      <c r="B828" s="121"/>
      <c r="C828" s="121"/>
      <c r="D828" s="121"/>
      <c r="E828" s="142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  <c r="AA828" s="121"/>
      <c r="AB828" s="121"/>
      <c r="AC828" s="121"/>
      <c r="AD828" s="121"/>
    </row>
    <row r="829">
      <c r="A829" s="121"/>
      <c r="B829" s="121"/>
      <c r="C829" s="121"/>
      <c r="D829" s="121"/>
      <c r="E829" s="142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  <c r="AA829" s="121"/>
      <c r="AB829" s="121"/>
      <c r="AC829" s="121"/>
      <c r="AD829" s="121"/>
    </row>
    <row r="830">
      <c r="A830" s="121"/>
      <c r="B830" s="121"/>
      <c r="C830" s="121"/>
      <c r="D830" s="121"/>
      <c r="E830" s="142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  <c r="AA830" s="121"/>
      <c r="AB830" s="121"/>
      <c r="AC830" s="121"/>
      <c r="AD830" s="121"/>
    </row>
    <row r="831">
      <c r="A831" s="121"/>
      <c r="B831" s="121"/>
      <c r="C831" s="121"/>
      <c r="D831" s="121"/>
      <c r="E831" s="142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  <c r="AA831" s="121"/>
      <c r="AB831" s="121"/>
      <c r="AC831" s="121"/>
      <c r="AD831" s="121"/>
    </row>
    <row r="832">
      <c r="A832" s="121"/>
      <c r="B832" s="121"/>
      <c r="C832" s="121"/>
      <c r="D832" s="121"/>
      <c r="E832" s="142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  <c r="AA832" s="121"/>
      <c r="AB832" s="121"/>
      <c r="AC832" s="121"/>
      <c r="AD832" s="121"/>
    </row>
    <row r="833">
      <c r="A833" s="121"/>
      <c r="B833" s="121"/>
      <c r="C833" s="121"/>
      <c r="D833" s="121"/>
      <c r="E833" s="142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  <c r="AA833" s="121"/>
      <c r="AB833" s="121"/>
      <c r="AC833" s="121"/>
      <c r="AD833" s="121"/>
    </row>
    <row r="834">
      <c r="A834" s="121"/>
      <c r="B834" s="121"/>
      <c r="C834" s="121"/>
      <c r="D834" s="121"/>
      <c r="E834" s="142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  <c r="AA834" s="121"/>
      <c r="AB834" s="121"/>
      <c r="AC834" s="121"/>
      <c r="AD834" s="121"/>
    </row>
    <row r="835">
      <c r="A835" s="121"/>
      <c r="B835" s="121"/>
      <c r="C835" s="121"/>
      <c r="D835" s="121"/>
      <c r="E835" s="142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  <c r="AA835" s="121"/>
      <c r="AB835" s="121"/>
      <c r="AC835" s="121"/>
      <c r="AD835" s="121"/>
    </row>
    <row r="836">
      <c r="A836" s="121"/>
      <c r="B836" s="121"/>
      <c r="C836" s="121"/>
      <c r="D836" s="121"/>
      <c r="E836" s="142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  <c r="AA836" s="121"/>
      <c r="AB836" s="121"/>
      <c r="AC836" s="121"/>
      <c r="AD836" s="121"/>
    </row>
    <row r="837">
      <c r="A837" s="121"/>
      <c r="B837" s="121"/>
      <c r="C837" s="121"/>
      <c r="D837" s="121"/>
      <c r="E837" s="142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  <c r="AA837" s="121"/>
      <c r="AB837" s="121"/>
      <c r="AC837" s="121"/>
      <c r="AD837" s="121"/>
    </row>
    <row r="838">
      <c r="A838" s="121"/>
      <c r="B838" s="121"/>
      <c r="C838" s="121"/>
      <c r="D838" s="121"/>
      <c r="E838" s="142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  <c r="AA838" s="121"/>
      <c r="AB838" s="121"/>
      <c r="AC838" s="121"/>
      <c r="AD838" s="121"/>
    </row>
    <row r="839">
      <c r="A839" s="121"/>
      <c r="B839" s="121"/>
      <c r="C839" s="121"/>
      <c r="D839" s="121"/>
      <c r="E839" s="142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  <c r="AA839" s="121"/>
      <c r="AB839" s="121"/>
      <c r="AC839" s="121"/>
      <c r="AD839" s="121"/>
    </row>
    <row r="840">
      <c r="A840" s="121"/>
      <c r="B840" s="121"/>
      <c r="C840" s="121"/>
      <c r="D840" s="121"/>
      <c r="E840" s="142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  <c r="AA840" s="121"/>
      <c r="AB840" s="121"/>
      <c r="AC840" s="121"/>
      <c r="AD840" s="121"/>
    </row>
    <row r="841">
      <c r="A841" s="121"/>
      <c r="B841" s="121"/>
      <c r="C841" s="121"/>
      <c r="D841" s="121"/>
      <c r="E841" s="142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  <c r="AA841" s="121"/>
      <c r="AB841" s="121"/>
      <c r="AC841" s="121"/>
      <c r="AD841" s="121"/>
    </row>
    <row r="842">
      <c r="A842" s="121"/>
      <c r="B842" s="121"/>
      <c r="C842" s="121"/>
      <c r="D842" s="121"/>
      <c r="E842" s="142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</row>
    <row r="843">
      <c r="A843" s="121"/>
      <c r="B843" s="121"/>
      <c r="C843" s="121"/>
      <c r="D843" s="121"/>
      <c r="E843" s="142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</row>
    <row r="844">
      <c r="A844" s="121"/>
      <c r="B844" s="121"/>
      <c r="C844" s="121"/>
      <c r="D844" s="121"/>
      <c r="E844" s="142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  <c r="AA844" s="121"/>
      <c r="AB844" s="121"/>
      <c r="AC844" s="121"/>
      <c r="AD844" s="121"/>
    </row>
    <row r="845">
      <c r="A845" s="121"/>
      <c r="B845" s="121"/>
      <c r="C845" s="121"/>
      <c r="D845" s="121"/>
      <c r="E845" s="142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</row>
    <row r="846">
      <c r="A846" s="121"/>
      <c r="B846" s="121"/>
      <c r="C846" s="121"/>
      <c r="D846" s="121"/>
      <c r="E846" s="142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</row>
    <row r="847">
      <c r="A847" s="121"/>
      <c r="B847" s="121"/>
      <c r="C847" s="121"/>
      <c r="D847" s="121"/>
      <c r="E847" s="142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</row>
    <row r="848">
      <c r="A848" s="121"/>
      <c r="B848" s="121"/>
      <c r="C848" s="121"/>
      <c r="D848" s="121"/>
      <c r="E848" s="142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</row>
    <row r="849">
      <c r="A849" s="121"/>
      <c r="B849" s="121"/>
      <c r="C849" s="121"/>
      <c r="D849" s="121"/>
      <c r="E849" s="142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</row>
    <row r="850">
      <c r="A850" s="121"/>
      <c r="B850" s="121"/>
      <c r="C850" s="121"/>
      <c r="D850" s="121"/>
      <c r="E850" s="142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</row>
    <row r="851">
      <c r="A851" s="121"/>
      <c r="B851" s="121"/>
      <c r="C851" s="121"/>
      <c r="D851" s="121"/>
      <c r="E851" s="142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</row>
    <row r="852">
      <c r="A852" s="121"/>
      <c r="B852" s="121"/>
      <c r="C852" s="121"/>
      <c r="D852" s="121"/>
      <c r="E852" s="142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</row>
    <row r="853">
      <c r="A853" s="121"/>
      <c r="B853" s="121"/>
      <c r="C853" s="121"/>
      <c r="D853" s="121"/>
      <c r="E853" s="142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</row>
    <row r="854">
      <c r="A854" s="121"/>
      <c r="B854" s="121"/>
      <c r="C854" s="121"/>
      <c r="D854" s="121"/>
      <c r="E854" s="142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</row>
    <row r="855">
      <c r="A855" s="121"/>
      <c r="B855" s="121"/>
      <c r="C855" s="121"/>
      <c r="D855" s="121"/>
      <c r="E855" s="142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</row>
    <row r="856">
      <c r="A856" s="121"/>
      <c r="B856" s="121"/>
      <c r="C856" s="121"/>
      <c r="D856" s="121"/>
      <c r="E856" s="142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  <c r="AA856" s="121"/>
      <c r="AB856" s="121"/>
      <c r="AC856" s="121"/>
      <c r="AD856" s="121"/>
    </row>
    <row r="857">
      <c r="A857" s="121"/>
      <c r="B857" s="121"/>
      <c r="C857" s="121"/>
      <c r="D857" s="121"/>
      <c r="E857" s="142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  <c r="AA857" s="121"/>
      <c r="AB857" s="121"/>
      <c r="AC857" s="121"/>
      <c r="AD857" s="121"/>
    </row>
    <row r="858">
      <c r="A858" s="121"/>
      <c r="B858" s="121"/>
      <c r="C858" s="121"/>
      <c r="D858" s="121"/>
      <c r="E858" s="142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  <c r="AA858" s="121"/>
      <c r="AB858" s="121"/>
      <c r="AC858" s="121"/>
      <c r="AD858" s="121"/>
    </row>
    <row r="859">
      <c r="A859" s="121"/>
      <c r="B859" s="121"/>
      <c r="C859" s="121"/>
      <c r="D859" s="121"/>
      <c r="E859" s="142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  <c r="AA859" s="121"/>
      <c r="AB859" s="121"/>
      <c r="AC859" s="121"/>
      <c r="AD859" s="121"/>
    </row>
    <row r="860">
      <c r="A860" s="121"/>
      <c r="B860" s="121"/>
      <c r="C860" s="121"/>
      <c r="D860" s="121"/>
      <c r="E860" s="142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  <c r="AA860" s="121"/>
      <c r="AB860" s="121"/>
      <c r="AC860" s="121"/>
      <c r="AD860" s="121"/>
    </row>
    <row r="861">
      <c r="A861" s="121"/>
      <c r="B861" s="121"/>
      <c r="C861" s="121"/>
      <c r="D861" s="121"/>
      <c r="E861" s="142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  <c r="AA861" s="121"/>
      <c r="AB861" s="121"/>
      <c r="AC861" s="121"/>
      <c r="AD861" s="121"/>
    </row>
    <row r="862">
      <c r="A862" s="121"/>
      <c r="B862" s="121"/>
      <c r="C862" s="121"/>
      <c r="D862" s="121"/>
      <c r="E862" s="142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  <c r="AA862" s="121"/>
      <c r="AB862" s="121"/>
      <c r="AC862" s="121"/>
      <c r="AD862" s="121"/>
    </row>
    <row r="863">
      <c r="A863" s="121"/>
      <c r="B863" s="121"/>
      <c r="C863" s="121"/>
      <c r="D863" s="121"/>
      <c r="E863" s="142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  <c r="AA863" s="121"/>
      <c r="AB863" s="121"/>
      <c r="AC863" s="121"/>
      <c r="AD863" s="121"/>
    </row>
    <row r="864">
      <c r="A864" s="121"/>
      <c r="B864" s="121"/>
      <c r="C864" s="121"/>
      <c r="D864" s="121"/>
      <c r="E864" s="142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  <c r="AA864" s="121"/>
      <c r="AB864" s="121"/>
      <c r="AC864" s="121"/>
      <c r="AD864" s="121"/>
    </row>
    <row r="865">
      <c r="A865" s="121"/>
      <c r="B865" s="121"/>
      <c r="C865" s="121"/>
      <c r="D865" s="121"/>
      <c r="E865" s="142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  <c r="AA865" s="121"/>
      <c r="AB865" s="121"/>
      <c r="AC865" s="121"/>
      <c r="AD865" s="121"/>
    </row>
    <row r="866">
      <c r="A866" s="121"/>
      <c r="B866" s="121"/>
      <c r="C866" s="121"/>
      <c r="D866" s="121"/>
      <c r="E866" s="142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  <c r="AA866" s="121"/>
      <c r="AB866" s="121"/>
      <c r="AC866" s="121"/>
      <c r="AD866" s="121"/>
    </row>
    <row r="867">
      <c r="A867" s="121"/>
      <c r="B867" s="121"/>
      <c r="C867" s="121"/>
      <c r="D867" s="121"/>
      <c r="E867" s="142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  <c r="AA867" s="121"/>
      <c r="AB867" s="121"/>
      <c r="AC867" s="121"/>
      <c r="AD867" s="121"/>
    </row>
    <row r="868">
      <c r="A868" s="121"/>
      <c r="B868" s="121"/>
      <c r="C868" s="121"/>
      <c r="D868" s="121"/>
      <c r="E868" s="142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  <c r="AA868" s="121"/>
      <c r="AB868" s="121"/>
      <c r="AC868" s="121"/>
      <c r="AD868" s="121"/>
    </row>
    <row r="869">
      <c r="A869" s="121"/>
      <c r="B869" s="121"/>
      <c r="C869" s="121"/>
      <c r="D869" s="121"/>
      <c r="E869" s="142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  <c r="AA869" s="121"/>
      <c r="AB869" s="121"/>
      <c r="AC869" s="121"/>
      <c r="AD869" s="121"/>
    </row>
    <row r="870">
      <c r="A870" s="121"/>
      <c r="B870" s="121"/>
      <c r="C870" s="121"/>
      <c r="D870" s="121"/>
      <c r="E870" s="142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  <c r="AA870" s="121"/>
      <c r="AB870" s="121"/>
      <c r="AC870" s="121"/>
      <c r="AD870" s="121"/>
    </row>
    <row r="871">
      <c r="A871" s="121"/>
      <c r="B871" s="121"/>
      <c r="C871" s="121"/>
      <c r="D871" s="121"/>
      <c r="E871" s="142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  <c r="AA871" s="121"/>
      <c r="AB871" s="121"/>
      <c r="AC871" s="121"/>
      <c r="AD871" s="121"/>
    </row>
    <row r="872">
      <c r="A872" s="121"/>
      <c r="B872" s="121"/>
      <c r="C872" s="121"/>
      <c r="D872" s="121"/>
      <c r="E872" s="142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  <c r="AA872" s="121"/>
      <c r="AB872" s="121"/>
      <c r="AC872" s="121"/>
      <c r="AD872" s="121"/>
    </row>
    <row r="873">
      <c r="A873" s="121"/>
      <c r="B873" s="121"/>
      <c r="C873" s="121"/>
      <c r="D873" s="121"/>
      <c r="E873" s="142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  <c r="AA873" s="121"/>
      <c r="AB873" s="121"/>
      <c r="AC873" s="121"/>
      <c r="AD873" s="121"/>
    </row>
    <row r="874">
      <c r="A874" s="121"/>
      <c r="B874" s="121"/>
      <c r="C874" s="121"/>
      <c r="D874" s="121"/>
      <c r="E874" s="142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  <c r="AA874" s="121"/>
      <c r="AB874" s="121"/>
      <c r="AC874" s="121"/>
      <c r="AD874" s="121"/>
    </row>
    <row r="875">
      <c r="A875" s="121"/>
      <c r="B875" s="121"/>
      <c r="C875" s="121"/>
      <c r="D875" s="121"/>
      <c r="E875" s="142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  <c r="AA875" s="121"/>
      <c r="AB875" s="121"/>
      <c r="AC875" s="121"/>
      <c r="AD875" s="121"/>
    </row>
    <row r="876">
      <c r="A876" s="121"/>
      <c r="B876" s="121"/>
      <c r="C876" s="121"/>
      <c r="D876" s="121"/>
      <c r="E876" s="142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  <c r="AA876" s="121"/>
      <c r="AB876" s="121"/>
      <c r="AC876" s="121"/>
      <c r="AD876" s="121"/>
    </row>
    <row r="877">
      <c r="A877" s="121"/>
      <c r="B877" s="121"/>
      <c r="C877" s="121"/>
      <c r="D877" s="121"/>
      <c r="E877" s="142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  <c r="AA877" s="121"/>
      <c r="AB877" s="121"/>
      <c r="AC877" s="121"/>
      <c r="AD877" s="121"/>
    </row>
    <row r="878">
      <c r="A878" s="121"/>
      <c r="B878" s="121"/>
      <c r="C878" s="121"/>
      <c r="D878" s="121"/>
      <c r="E878" s="142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  <c r="AA878" s="121"/>
      <c r="AB878" s="121"/>
      <c r="AC878" s="121"/>
      <c r="AD878" s="121"/>
    </row>
    <row r="879">
      <c r="A879" s="121"/>
      <c r="B879" s="121"/>
      <c r="C879" s="121"/>
      <c r="D879" s="121"/>
      <c r="E879" s="142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  <c r="AA879" s="121"/>
      <c r="AB879" s="121"/>
      <c r="AC879" s="121"/>
      <c r="AD879" s="121"/>
    </row>
    <row r="880">
      <c r="A880" s="121"/>
      <c r="B880" s="121"/>
      <c r="C880" s="121"/>
      <c r="D880" s="121"/>
      <c r="E880" s="142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</row>
    <row r="881">
      <c r="A881" s="121"/>
      <c r="B881" s="121"/>
      <c r="C881" s="121"/>
      <c r="D881" s="121"/>
      <c r="E881" s="142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</row>
    <row r="882">
      <c r="A882" s="121"/>
      <c r="B882" s="121"/>
      <c r="C882" s="121"/>
      <c r="D882" s="121"/>
      <c r="E882" s="142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  <c r="AA882" s="121"/>
      <c r="AB882" s="121"/>
      <c r="AC882" s="121"/>
      <c r="AD882" s="121"/>
    </row>
    <row r="883">
      <c r="A883" s="121"/>
      <c r="B883" s="121"/>
      <c r="C883" s="121"/>
      <c r="D883" s="121"/>
      <c r="E883" s="142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</row>
    <row r="884">
      <c r="A884" s="121"/>
      <c r="B884" s="121"/>
      <c r="C884" s="121"/>
      <c r="D884" s="121"/>
      <c r="E884" s="142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</row>
    <row r="885">
      <c r="A885" s="121"/>
      <c r="B885" s="121"/>
      <c r="C885" s="121"/>
      <c r="D885" s="121"/>
      <c r="E885" s="142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</row>
    <row r="886">
      <c r="A886" s="121"/>
      <c r="B886" s="121"/>
      <c r="C886" s="121"/>
      <c r="D886" s="121"/>
      <c r="E886" s="142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</row>
    <row r="887">
      <c r="A887" s="121"/>
      <c r="B887" s="121"/>
      <c r="C887" s="121"/>
      <c r="D887" s="121"/>
      <c r="E887" s="142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</row>
    <row r="888">
      <c r="A888" s="121"/>
      <c r="B888" s="121"/>
      <c r="C888" s="121"/>
      <c r="D888" s="121"/>
      <c r="E888" s="142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</row>
    <row r="889">
      <c r="A889" s="121"/>
      <c r="B889" s="121"/>
      <c r="C889" s="121"/>
      <c r="D889" s="121"/>
      <c r="E889" s="142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</row>
    <row r="890">
      <c r="A890" s="121"/>
      <c r="B890" s="121"/>
      <c r="C890" s="121"/>
      <c r="D890" s="121"/>
      <c r="E890" s="142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</row>
    <row r="891">
      <c r="A891" s="121"/>
      <c r="B891" s="121"/>
      <c r="C891" s="121"/>
      <c r="D891" s="121"/>
      <c r="E891" s="142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</row>
    <row r="892">
      <c r="A892" s="121"/>
      <c r="B892" s="121"/>
      <c r="C892" s="121"/>
      <c r="D892" s="121"/>
      <c r="E892" s="142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</row>
    <row r="893">
      <c r="A893" s="121"/>
      <c r="B893" s="121"/>
      <c r="C893" s="121"/>
      <c r="D893" s="121"/>
      <c r="E893" s="142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</row>
    <row r="894">
      <c r="A894" s="121"/>
      <c r="B894" s="121"/>
      <c r="C894" s="121"/>
      <c r="D894" s="121"/>
      <c r="E894" s="142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  <c r="AA894" s="121"/>
      <c r="AB894" s="121"/>
      <c r="AC894" s="121"/>
      <c r="AD894" s="121"/>
    </row>
    <row r="895">
      <c r="A895" s="121"/>
      <c r="B895" s="121"/>
      <c r="C895" s="121"/>
      <c r="D895" s="121"/>
      <c r="E895" s="142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  <c r="AA895" s="121"/>
      <c r="AB895" s="121"/>
      <c r="AC895" s="121"/>
      <c r="AD895" s="121"/>
    </row>
    <row r="896">
      <c r="A896" s="121"/>
      <c r="B896" s="121"/>
      <c r="C896" s="121"/>
      <c r="D896" s="121"/>
      <c r="E896" s="142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  <c r="AA896" s="121"/>
      <c r="AB896" s="121"/>
      <c r="AC896" s="121"/>
      <c r="AD896" s="121"/>
    </row>
    <row r="897">
      <c r="A897" s="121"/>
      <c r="B897" s="121"/>
      <c r="C897" s="121"/>
      <c r="D897" s="121"/>
      <c r="E897" s="142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  <c r="AA897" s="121"/>
      <c r="AB897" s="121"/>
      <c r="AC897" s="121"/>
      <c r="AD897" s="121"/>
    </row>
    <row r="898">
      <c r="A898" s="121"/>
      <c r="B898" s="121"/>
      <c r="C898" s="121"/>
      <c r="D898" s="121"/>
      <c r="E898" s="142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  <c r="AA898" s="121"/>
      <c r="AB898" s="121"/>
      <c r="AC898" s="121"/>
      <c r="AD898" s="121"/>
    </row>
    <row r="899">
      <c r="A899" s="121"/>
      <c r="B899" s="121"/>
      <c r="C899" s="121"/>
      <c r="D899" s="121"/>
      <c r="E899" s="142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  <c r="AA899" s="121"/>
      <c r="AB899" s="121"/>
      <c r="AC899" s="121"/>
      <c r="AD899" s="121"/>
    </row>
    <row r="900">
      <c r="A900" s="121"/>
      <c r="B900" s="121"/>
      <c r="C900" s="121"/>
      <c r="D900" s="121"/>
      <c r="E900" s="142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  <c r="AA900" s="121"/>
      <c r="AB900" s="121"/>
      <c r="AC900" s="121"/>
      <c r="AD900" s="121"/>
    </row>
    <row r="901">
      <c r="A901" s="121"/>
      <c r="B901" s="121"/>
      <c r="C901" s="121"/>
      <c r="D901" s="121"/>
      <c r="E901" s="142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  <c r="AA901" s="121"/>
      <c r="AB901" s="121"/>
      <c r="AC901" s="121"/>
      <c r="AD901" s="121"/>
    </row>
    <row r="902">
      <c r="A902" s="121"/>
      <c r="B902" s="121"/>
      <c r="C902" s="121"/>
      <c r="D902" s="121"/>
      <c r="E902" s="142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  <c r="AA902" s="121"/>
      <c r="AB902" s="121"/>
      <c r="AC902" s="121"/>
      <c r="AD902" s="121"/>
    </row>
    <row r="903">
      <c r="A903" s="121"/>
      <c r="B903" s="121"/>
      <c r="C903" s="121"/>
      <c r="D903" s="121"/>
      <c r="E903" s="142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  <c r="AA903" s="121"/>
      <c r="AB903" s="121"/>
      <c r="AC903" s="121"/>
      <c r="AD903" s="121"/>
    </row>
    <row r="904">
      <c r="A904" s="121"/>
      <c r="B904" s="121"/>
      <c r="C904" s="121"/>
      <c r="D904" s="121"/>
      <c r="E904" s="142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  <c r="AA904" s="121"/>
      <c r="AB904" s="121"/>
      <c r="AC904" s="121"/>
      <c r="AD904" s="121"/>
    </row>
    <row r="905">
      <c r="A905" s="121"/>
      <c r="B905" s="121"/>
      <c r="C905" s="121"/>
      <c r="D905" s="121"/>
      <c r="E905" s="142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  <c r="AA905" s="121"/>
      <c r="AB905" s="121"/>
      <c r="AC905" s="121"/>
      <c r="AD905" s="121"/>
    </row>
    <row r="906">
      <c r="A906" s="121"/>
      <c r="B906" s="121"/>
      <c r="C906" s="121"/>
      <c r="D906" s="121"/>
      <c r="E906" s="142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  <c r="AA906" s="121"/>
      <c r="AB906" s="121"/>
      <c r="AC906" s="121"/>
      <c r="AD906" s="121"/>
    </row>
    <row r="907">
      <c r="A907" s="121"/>
      <c r="B907" s="121"/>
      <c r="C907" s="121"/>
      <c r="D907" s="121"/>
      <c r="E907" s="142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  <c r="AA907" s="121"/>
      <c r="AB907" s="121"/>
      <c r="AC907" s="121"/>
      <c r="AD907" s="121"/>
    </row>
    <row r="908">
      <c r="A908" s="121"/>
      <c r="B908" s="121"/>
      <c r="C908" s="121"/>
      <c r="D908" s="121"/>
      <c r="E908" s="142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  <c r="AA908" s="121"/>
      <c r="AB908" s="121"/>
      <c r="AC908" s="121"/>
      <c r="AD908" s="121"/>
    </row>
    <row r="909">
      <c r="A909" s="121"/>
      <c r="B909" s="121"/>
      <c r="C909" s="121"/>
      <c r="D909" s="121"/>
      <c r="E909" s="142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  <c r="AA909" s="121"/>
      <c r="AB909" s="121"/>
      <c r="AC909" s="121"/>
      <c r="AD909" s="121"/>
    </row>
    <row r="910">
      <c r="A910" s="121"/>
      <c r="B910" s="121"/>
      <c r="C910" s="121"/>
      <c r="D910" s="121"/>
      <c r="E910" s="142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  <c r="AA910" s="121"/>
      <c r="AB910" s="121"/>
      <c r="AC910" s="121"/>
      <c r="AD910" s="121"/>
    </row>
    <row r="911">
      <c r="A911" s="121"/>
      <c r="B911" s="121"/>
      <c r="C911" s="121"/>
      <c r="D911" s="121"/>
      <c r="E911" s="142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  <c r="AA911" s="121"/>
      <c r="AB911" s="121"/>
      <c r="AC911" s="121"/>
      <c r="AD911" s="121"/>
    </row>
    <row r="912">
      <c r="A912" s="121"/>
      <c r="B912" s="121"/>
      <c r="C912" s="121"/>
      <c r="D912" s="121"/>
      <c r="E912" s="142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  <c r="AA912" s="121"/>
      <c r="AB912" s="121"/>
      <c r="AC912" s="121"/>
      <c r="AD912" s="121"/>
    </row>
    <row r="913">
      <c r="A913" s="121"/>
      <c r="B913" s="121"/>
      <c r="C913" s="121"/>
      <c r="D913" s="121"/>
      <c r="E913" s="142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  <c r="AA913" s="121"/>
      <c r="AB913" s="121"/>
      <c r="AC913" s="121"/>
      <c r="AD913" s="121"/>
    </row>
    <row r="914">
      <c r="A914" s="121"/>
      <c r="B914" s="121"/>
      <c r="C914" s="121"/>
      <c r="D914" s="121"/>
      <c r="E914" s="142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  <c r="AA914" s="121"/>
      <c r="AB914" s="121"/>
      <c r="AC914" s="121"/>
      <c r="AD914" s="121"/>
    </row>
    <row r="915">
      <c r="A915" s="121"/>
      <c r="B915" s="121"/>
      <c r="C915" s="121"/>
      <c r="D915" s="121"/>
      <c r="E915" s="142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  <c r="AA915" s="121"/>
      <c r="AB915" s="121"/>
      <c r="AC915" s="121"/>
      <c r="AD915" s="121"/>
    </row>
    <row r="916">
      <c r="A916" s="121"/>
      <c r="B916" s="121"/>
      <c r="C916" s="121"/>
      <c r="D916" s="121"/>
      <c r="E916" s="142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  <c r="AA916" s="121"/>
      <c r="AB916" s="121"/>
      <c r="AC916" s="121"/>
      <c r="AD916" s="121"/>
    </row>
    <row r="917">
      <c r="A917" s="121"/>
      <c r="B917" s="121"/>
      <c r="C917" s="121"/>
      <c r="D917" s="121"/>
      <c r="E917" s="142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  <c r="AA917" s="121"/>
      <c r="AB917" s="121"/>
      <c r="AC917" s="121"/>
      <c r="AD917" s="121"/>
    </row>
    <row r="918">
      <c r="A918" s="121"/>
      <c r="B918" s="121"/>
      <c r="C918" s="121"/>
      <c r="D918" s="121"/>
      <c r="E918" s="142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</row>
    <row r="919">
      <c r="A919" s="121"/>
      <c r="B919" s="121"/>
      <c r="C919" s="121"/>
      <c r="D919" s="121"/>
      <c r="E919" s="142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</row>
    <row r="920">
      <c r="A920" s="121"/>
      <c r="B920" s="121"/>
      <c r="C920" s="121"/>
      <c r="D920" s="121"/>
      <c r="E920" s="142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  <c r="AA920" s="121"/>
      <c r="AB920" s="121"/>
      <c r="AC920" s="121"/>
      <c r="AD920" s="121"/>
    </row>
    <row r="921">
      <c r="A921" s="121"/>
      <c r="B921" s="121"/>
      <c r="C921" s="121"/>
      <c r="D921" s="121"/>
      <c r="E921" s="142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</row>
    <row r="922">
      <c r="A922" s="121"/>
      <c r="B922" s="121"/>
      <c r="C922" s="121"/>
      <c r="D922" s="121"/>
      <c r="E922" s="142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</row>
    <row r="923">
      <c r="A923" s="121"/>
      <c r="B923" s="121"/>
      <c r="C923" s="121"/>
      <c r="D923" s="121"/>
      <c r="E923" s="142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</row>
    <row r="924">
      <c r="A924" s="121"/>
      <c r="B924" s="121"/>
      <c r="C924" s="121"/>
      <c r="D924" s="121"/>
      <c r="E924" s="142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</row>
    <row r="925">
      <c r="A925" s="121"/>
      <c r="B925" s="121"/>
      <c r="C925" s="121"/>
      <c r="D925" s="121"/>
      <c r="E925" s="142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</row>
    <row r="926">
      <c r="A926" s="121"/>
      <c r="B926" s="121"/>
      <c r="C926" s="121"/>
      <c r="D926" s="121"/>
      <c r="E926" s="142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</row>
    <row r="927">
      <c r="A927" s="121"/>
      <c r="B927" s="121"/>
      <c r="C927" s="121"/>
      <c r="D927" s="121"/>
      <c r="E927" s="142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</row>
    <row r="928">
      <c r="A928" s="121"/>
      <c r="B928" s="121"/>
      <c r="C928" s="121"/>
      <c r="D928" s="121"/>
      <c r="E928" s="142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</row>
    <row r="929">
      <c r="A929" s="121"/>
      <c r="B929" s="121"/>
      <c r="C929" s="121"/>
      <c r="D929" s="121"/>
      <c r="E929" s="142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</row>
    <row r="930">
      <c r="A930" s="121"/>
      <c r="B930" s="121"/>
      <c r="C930" s="121"/>
      <c r="D930" s="121"/>
      <c r="E930" s="142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</row>
    <row r="931">
      <c r="A931" s="121"/>
      <c r="B931" s="121"/>
      <c r="C931" s="121"/>
      <c r="D931" s="121"/>
      <c r="E931" s="142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</row>
    <row r="932">
      <c r="A932" s="121"/>
      <c r="B932" s="121"/>
      <c r="C932" s="121"/>
      <c r="D932" s="121"/>
      <c r="E932" s="142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  <c r="AA932" s="121"/>
      <c r="AB932" s="121"/>
      <c r="AC932" s="121"/>
      <c r="AD932" s="121"/>
    </row>
    <row r="933">
      <c r="A933" s="121"/>
      <c r="B933" s="121"/>
      <c r="C933" s="121"/>
      <c r="D933" s="121"/>
      <c r="E933" s="142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  <c r="AA933" s="121"/>
      <c r="AB933" s="121"/>
      <c r="AC933" s="121"/>
      <c r="AD933" s="121"/>
    </row>
    <row r="934">
      <c r="A934" s="121"/>
      <c r="B934" s="121"/>
      <c r="C934" s="121"/>
      <c r="D934" s="121"/>
      <c r="E934" s="142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  <c r="AA934" s="121"/>
      <c r="AB934" s="121"/>
      <c r="AC934" s="121"/>
      <c r="AD934" s="121"/>
    </row>
    <row r="935">
      <c r="A935" s="121"/>
      <c r="B935" s="121"/>
      <c r="C935" s="121"/>
      <c r="D935" s="121"/>
      <c r="E935" s="142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  <c r="AA935" s="121"/>
      <c r="AB935" s="121"/>
      <c r="AC935" s="121"/>
      <c r="AD935" s="121"/>
    </row>
    <row r="936">
      <c r="A936" s="121"/>
      <c r="B936" s="121"/>
      <c r="C936" s="121"/>
      <c r="D936" s="121"/>
      <c r="E936" s="142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  <c r="AA936" s="121"/>
      <c r="AB936" s="121"/>
      <c r="AC936" s="121"/>
      <c r="AD936" s="121"/>
    </row>
    <row r="937">
      <c r="A937" s="121"/>
      <c r="B937" s="121"/>
      <c r="C937" s="121"/>
      <c r="D937" s="121"/>
      <c r="E937" s="142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  <c r="AA937" s="121"/>
      <c r="AB937" s="121"/>
      <c r="AC937" s="121"/>
      <c r="AD937" s="121"/>
    </row>
    <row r="938">
      <c r="A938" s="121"/>
      <c r="B938" s="121"/>
      <c r="C938" s="121"/>
      <c r="D938" s="121"/>
      <c r="E938" s="142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  <c r="AA938" s="121"/>
      <c r="AB938" s="121"/>
      <c r="AC938" s="121"/>
      <c r="AD938" s="121"/>
    </row>
    <row r="939">
      <c r="A939" s="121"/>
      <c r="B939" s="121"/>
      <c r="C939" s="121"/>
      <c r="D939" s="121"/>
      <c r="E939" s="142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  <c r="AA939" s="121"/>
      <c r="AB939" s="121"/>
      <c r="AC939" s="121"/>
      <c r="AD939" s="121"/>
    </row>
    <row r="940">
      <c r="A940" s="121"/>
      <c r="B940" s="121"/>
      <c r="C940" s="121"/>
      <c r="D940" s="121"/>
      <c r="E940" s="142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  <c r="AA940" s="121"/>
      <c r="AB940" s="121"/>
      <c r="AC940" s="121"/>
      <c r="AD940" s="121"/>
    </row>
    <row r="941">
      <c r="A941" s="121"/>
      <c r="B941" s="121"/>
      <c r="C941" s="121"/>
      <c r="D941" s="121"/>
      <c r="E941" s="142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  <c r="AA941" s="121"/>
      <c r="AB941" s="121"/>
      <c r="AC941" s="121"/>
      <c r="AD941" s="121"/>
    </row>
    <row r="942">
      <c r="A942" s="121"/>
      <c r="B942" s="121"/>
      <c r="C942" s="121"/>
      <c r="D942" s="121"/>
      <c r="E942" s="142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  <c r="AA942" s="121"/>
      <c r="AB942" s="121"/>
      <c r="AC942" s="121"/>
      <c r="AD942" s="121"/>
    </row>
    <row r="943">
      <c r="A943" s="121"/>
      <c r="B943" s="121"/>
      <c r="C943" s="121"/>
      <c r="D943" s="121"/>
      <c r="E943" s="142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  <c r="AA943" s="121"/>
      <c r="AB943" s="121"/>
      <c r="AC943" s="121"/>
      <c r="AD943" s="121"/>
    </row>
    <row r="944">
      <c r="A944" s="121"/>
      <c r="B944" s="121"/>
      <c r="C944" s="121"/>
      <c r="D944" s="121"/>
      <c r="E944" s="142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  <c r="AA944" s="121"/>
      <c r="AB944" s="121"/>
      <c r="AC944" s="121"/>
      <c r="AD944" s="121"/>
    </row>
    <row r="945">
      <c r="A945" s="121"/>
      <c r="B945" s="121"/>
      <c r="C945" s="121"/>
      <c r="D945" s="121"/>
      <c r="E945" s="142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  <c r="AA945" s="121"/>
      <c r="AB945" s="121"/>
      <c r="AC945" s="121"/>
      <c r="AD945" s="121"/>
    </row>
    <row r="946">
      <c r="A946" s="121"/>
      <c r="B946" s="121"/>
      <c r="C946" s="121"/>
      <c r="D946" s="121"/>
      <c r="E946" s="142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  <c r="AA946" s="121"/>
      <c r="AB946" s="121"/>
      <c r="AC946" s="121"/>
      <c r="AD946" s="121"/>
    </row>
    <row r="947">
      <c r="A947" s="121"/>
      <c r="B947" s="121"/>
      <c r="C947" s="121"/>
      <c r="D947" s="121"/>
      <c r="E947" s="142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  <c r="AA947" s="121"/>
      <c r="AB947" s="121"/>
      <c r="AC947" s="121"/>
      <c r="AD947" s="121"/>
    </row>
    <row r="948">
      <c r="A948" s="121"/>
      <c r="B948" s="121"/>
      <c r="C948" s="121"/>
      <c r="D948" s="121"/>
      <c r="E948" s="142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  <c r="AA948" s="121"/>
      <c r="AB948" s="121"/>
      <c r="AC948" s="121"/>
      <c r="AD948" s="121"/>
    </row>
    <row r="949">
      <c r="A949" s="121"/>
      <c r="B949" s="121"/>
      <c r="C949" s="121"/>
      <c r="D949" s="121"/>
      <c r="E949" s="142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  <c r="AA949" s="121"/>
      <c r="AB949" s="121"/>
      <c r="AC949" s="121"/>
      <c r="AD949" s="121"/>
    </row>
    <row r="950">
      <c r="A950" s="121"/>
      <c r="B950" s="121"/>
      <c r="C950" s="121"/>
      <c r="D950" s="121"/>
      <c r="E950" s="142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  <c r="AA950" s="121"/>
      <c r="AB950" s="121"/>
      <c r="AC950" s="121"/>
      <c r="AD950" s="121"/>
    </row>
    <row r="951">
      <c r="A951" s="121"/>
      <c r="B951" s="121"/>
      <c r="C951" s="121"/>
      <c r="D951" s="121"/>
      <c r="E951" s="142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  <c r="AA951" s="121"/>
      <c r="AB951" s="121"/>
      <c r="AC951" s="121"/>
      <c r="AD951" s="121"/>
    </row>
    <row r="952">
      <c r="A952" s="121"/>
      <c r="B952" s="121"/>
      <c r="C952" s="121"/>
      <c r="D952" s="121"/>
      <c r="E952" s="142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  <c r="AA952" s="121"/>
      <c r="AB952" s="121"/>
      <c r="AC952" s="121"/>
      <c r="AD952" s="121"/>
    </row>
    <row r="953">
      <c r="A953" s="121"/>
      <c r="B953" s="121"/>
      <c r="C953" s="121"/>
      <c r="D953" s="121"/>
      <c r="E953" s="142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  <c r="AA953" s="121"/>
      <c r="AB953" s="121"/>
      <c r="AC953" s="121"/>
      <c r="AD953" s="121"/>
    </row>
    <row r="954">
      <c r="A954" s="121"/>
      <c r="B954" s="121"/>
      <c r="C954" s="121"/>
      <c r="D954" s="121"/>
      <c r="E954" s="142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  <c r="AA954" s="121"/>
      <c r="AB954" s="121"/>
      <c r="AC954" s="121"/>
      <c r="AD954" s="121"/>
    </row>
    <row r="955">
      <c r="A955" s="121"/>
      <c r="B955" s="121"/>
      <c r="C955" s="121"/>
      <c r="D955" s="121"/>
      <c r="E955" s="142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  <c r="AA955" s="121"/>
      <c r="AB955" s="121"/>
      <c r="AC955" s="121"/>
      <c r="AD955" s="121"/>
    </row>
    <row r="956">
      <c r="A956" s="121"/>
      <c r="B956" s="121"/>
      <c r="C956" s="121"/>
      <c r="D956" s="121"/>
      <c r="E956" s="142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</row>
    <row r="957">
      <c r="A957" s="121"/>
      <c r="B957" s="121"/>
      <c r="C957" s="121"/>
      <c r="D957" s="121"/>
      <c r="E957" s="142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</row>
    <row r="958">
      <c r="A958" s="121"/>
      <c r="B958" s="121"/>
      <c r="C958" s="121"/>
      <c r="D958" s="121"/>
      <c r="E958" s="142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  <c r="AA958" s="121"/>
      <c r="AB958" s="121"/>
      <c r="AC958" s="121"/>
      <c r="AD958" s="121"/>
    </row>
    <row r="959">
      <c r="A959" s="121"/>
      <c r="B959" s="121"/>
      <c r="C959" s="121"/>
      <c r="D959" s="121"/>
      <c r="E959" s="142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</row>
    <row r="960">
      <c r="A960" s="121"/>
      <c r="B960" s="121"/>
      <c r="C960" s="121"/>
      <c r="D960" s="121"/>
      <c r="E960" s="142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</row>
    <row r="961">
      <c r="A961" s="121"/>
      <c r="B961" s="121"/>
      <c r="C961" s="121"/>
      <c r="D961" s="121"/>
      <c r="E961" s="142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</row>
    <row r="962">
      <c r="A962" s="121"/>
      <c r="B962" s="121"/>
      <c r="C962" s="121"/>
      <c r="D962" s="121"/>
      <c r="E962" s="142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</row>
    <row r="963">
      <c r="A963" s="121"/>
      <c r="B963" s="121"/>
      <c r="C963" s="121"/>
      <c r="D963" s="121"/>
      <c r="E963" s="142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</row>
    <row r="964">
      <c r="A964" s="121"/>
      <c r="B964" s="121"/>
      <c r="C964" s="121"/>
      <c r="D964" s="121"/>
      <c r="E964" s="142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</row>
    <row r="965">
      <c r="A965" s="121"/>
      <c r="B965" s="121"/>
      <c r="C965" s="121"/>
      <c r="D965" s="121"/>
      <c r="E965" s="142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</row>
    <row r="966">
      <c r="A966" s="121"/>
      <c r="B966" s="121"/>
      <c r="C966" s="121"/>
      <c r="D966" s="121"/>
      <c r="E966" s="142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</row>
    <row r="967">
      <c r="A967" s="121"/>
      <c r="B967" s="121"/>
      <c r="C967" s="121"/>
      <c r="D967" s="121"/>
      <c r="E967" s="142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</row>
    <row r="968">
      <c r="A968" s="121"/>
      <c r="B968" s="121"/>
      <c r="C968" s="121"/>
      <c r="D968" s="121"/>
      <c r="E968" s="142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</row>
    <row r="969">
      <c r="A969" s="121"/>
      <c r="B969" s="121"/>
      <c r="C969" s="121"/>
      <c r="D969" s="121"/>
      <c r="E969" s="142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</row>
    <row r="970">
      <c r="A970" s="121"/>
      <c r="B970" s="121"/>
      <c r="C970" s="121"/>
      <c r="D970" s="121"/>
      <c r="E970" s="142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  <c r="AA970" s="121"/>
      <c r="AB970" s="121"/>
      <c r="AC970" s="121"/>
      <c r="AD970" s="121"/>
    </row>
    <row r="971">
      <c r="A971" s="121"/>
      <c r="B971" s="121"/>
      <c r="C971" s="121"/>
      <c r="D971" s="121"/>
      <c r="E971" s="142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  <c r="AA971" s="121"/>
      <c r="AB971" s="121"/>
      <c r="AC971" s="121"/>
      <c r="AD971" s="121"/>
    </row>
    <row r="972">
      <c r="A972" s="121"/>
      <c r="B972" s="121"/>
      <c r="C972" s="121"/>
      <c r="D972" s="121"/>
      <c r="E972" s="142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  <c r="AA972" s="121"/>
      <c r="AB972" s="121"/>
      <c r="AC972" s="121"/>
      <c r="AD972" s="121"/>
    </row>
    <row r="973">
      <c r="A973" s="121"/>
      <c r="B973" s="121"/>
      <c r="C973" s="121"/>
      <c r="D973" s="121"/>
      <c r="E973" s="142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  <c r="AA973" s="121"/>
      <c r="AB973" s="121"/>
      <c r="AC973" s="121"/>
      <c r="AD973" s="121"/>
    </row>
    <row r="974">
      <c r="A974" s="121"/>
      <c r="B974" s="121"/>
      <c r="C974" s="121"/>
      <c r="D974" s="121"/>
      <c r="E974" s="142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  <c r="AA974" s="121"/>
      <c r="AB974" s="121"/>
      <c r="AC974" s="121"/>
      <c r="AD974" s="121"/>
    </row>
    <row r="975">
      <c r="A975" s="121"/>
      <c r="B975" s="121"/>
      <c r="C975" s="121"/>
      <c r="D975" s="121"/>
      <c r="E975" s="142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  <c r="AA975" s="121"/>
      <c r="AB975" s="121"/>
      <c r="AC975" s="121"/>
      <c r="AD975" s="121"/>
    </row>
    <row r="976">
      <c r="A976" s="121"/>
      <c r="B976" s="121"/>
      <c r="C976" s="121"/>
      <c r="D976" s="121"/>
      <c r="E976" s="142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  <c r="AA976" s="121"/>
      <c r="AB976" s="121"/>
      <c r="AC976" s="121"/>
      <c r="AD976" s="121"/>
    </row>
    <row r="977">
      <c r="A977" s="121"/>
      <c r="B977" s="121"/>
      <c r="C977" s="121"/>
      <c r="D977" s="121"/>
      <c r="E977" s="142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  <c r="AA977" s="121"/>
      <c r="AB977" s="121"/>
      <c r="AC977" s="121"/>
      <c r="AD977" s="121"/>
    </row>
    <row r="978">
      <c r="A978" s="121"/>
      <c r="B978" s="121"/>
      <c r="C978" s="121"/>
      <c r="D978" s="121"/>
      <c r="E978" s="142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  <c r="AA978" s="121"/>
      <c r="AB978" s="121"/>
      <c r="AC978" s="121"/>
      <c r="AD978" s="121"/>
    </row>
    <row r="979">
      <c r="A979" s="121"/>
      <c r="B979" s="121"/>
      <c r="C979" s="121"/>
      <c r="D979" s="121"/>
      <c r="E979" s="142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  <c r="AA979" s="121"/>
      <c r="AB979" s="121"/>
      <c r="AC979" s="121"/>
      <c r="AD979" s="121"/>
    </row>
    <row r="980">
      <c r="A980" s="121"/>
      <c r="B980" s="121"/>
      <c r="C980" s="121"/>
      <c r="D980" s="121"/>
      <c r="E980" s="142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  <c r="AA980" s="121"/>
      <c r="AB980" s="121"/>
      <c r="AC980" s="121"/>
      <c r="AD980" s="121"/>
    </row>
    <row r="981">
      <c r="A981" s="121"/>
      <c r="B981" s="121"/>
      <c r="C981" s="121"/>
      <c r="D981" s="121"/>
      <c r="E981" s="142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  <c r="AA981" s="121"/>
      <c r="AB981" s="121"/>
      <c r="AC981" s="121"/>
      <c r="AD981" s="121"/>
    </row>
    <row r="982">
      <c r="A982" s="121"/>
      <c r="B982" s="121"/>
      <c r="C982" s="121"/>
      <c r="D982" s="121"/>
      <c r="E982" s="142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  <c r="AA982" s="121"/>
      <c r="AB982" s="121"/>
      <c r="AC982" s="121"/>
      <c r="AD982" s="121"/>
    </row>
    <row r="983">
      <c r="A983" s="121"/>
      <c r="B983" s="121"/>
      <c r="C983" s="121"/>
      <c r="D983" s="121"/>
      <c r="E983" s="142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  <c r="AA983" s="121"/>
      <c r="AB983" s="121"/>
      <c r="AC983" s="121"/>
      <c r="AD983" s="121"/>
    </row>
    <row r="984">
      <c r="A984" s="121"/>
      <c r="B984" s="121"/>
      <c r="C984" s="121"/>
      <c r="D984" s="121"/>
      <c r="E984" s="142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  <c r="AA984" s="121"/>
      <c r="AB984" s="121"/>
      <c r="AC984" s="121"/>
      <c r="AD984" s="121"/>
    </row>
    <row r="985">
      <c r="A985" s="121"/>
      <c r="B985" s="121"/>
      <c r="C985" s="121"/>
      <c r="D985" s="121"/>
      <c r="E985" s="142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  <c r="AA985" s="121"/>
      <c r="AB985" s="121"/>
      <c r="AC985" s="121"/>
      <c r="AD985" s="121"/>
    </row>
    <row r="986">
      <c r="A986" s="121"/>
      <c r="B986" s="121"/>
      <c r="C986" s="121"/>
      <c r="D986" s="121"/>
      <c r="E986" s="142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  <c r="AA986" s="121"/>
      <c r="AB986" s="121"/>
      <c r="AC986" s="121"/>
      <c r="AD986" s="121"/>
    </row>
    <row r="987">
      <c r="A987" s="121"/>
      <c r="B987" s="121"/>
      <c r="C987" s="121"/>
      <c r="D987" s="121"/>
      <c r="E987" s="142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  <c r="AA987" s="121"/>
      <c r="AB987" s="121"/>
      <c r="AC987" s="121"/>
      <c r="AD987" s="121"/>
    </row>
    <row r="988">
      <c r="A988" s="121"/>
      <c r="B988" s="121"/>
      <c r="C988" s="121"/>
      <c r="D988" s="121"/>
      <c r="E988" s="142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  <c r="AA988" s="121"/>
      <c r="AB988" s="121"/>
      <c r="AC988" s="121"/>
      <c r="AD988" s="121"/>
    </row>
  </sheetData>
  <mergeCells count="8">
    <mergeCell ref="C5:D5"/>
    <mergeCell ref="E5:F5"/>
    <mergeCell ref="E6:F6"/>
    <mergeCell ref="E7:F7"/>
    <mergeCell ref="E8:F8"/>
    <mergeCell ref="E9:F9"/>
    <mergeCell ref="E10:F10"/>
    <mergeCell ref="E11:F11"/>
  </mergeCells>
  <dataValidations>
    <dataValidation type="list" allowBlank="1" sqref="H15:H57">
      <formula1>"High,Medium,Low"</formula1>
    </dataValidation>
    <dataValidation type="list" allowBlank="1" sqref="D15:D57">
      <formula1>"Equipment &amp; Tools,Consumables &amp; Materials,Miscellaneous,IT Hardware,IT Software"</formula1>
    </dataValidation>
    <dataValidation type="list" allowBlank="1" sqref="I15:I57">
      <formula1>"Host,Partner (Sponsor),Competitor,Pending"</formula1>
    </dataValidation>
    <dataValidation type="custom" allowBlank="1" showDropDown="1" sqref="B15:B57">
      <formula1>AND(ISNUMBER(B15),(NOT(OR(NOT(ISERROR(DATEVALUE(B15))), AND(ISNUMBER(B15), LEFT(CELL("format", B15))="D")))))</formula1>
    </dataValidation>
    <dataValidation type="list" allowBlank="1" showErrorMessage="1" sqref="E6:E11">
      <formula1>"Not started,On going,Completed"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63"/>
    <col customWidth="1" min="3" max="3" width="38.88"/>
    <col customWidth="1" min="4" max="4" width="16.38"/>
    <col customWidth="1" min="5" max="5" width="26.13"/>
  </cols>
  <sheetData>
    <row r="1">
      <c r="A1" s="25"/>
      <c r="B1" s="62" t="str">
        <f>CONCATENATE('0. Checklist'!D1, " ", '0. Checklist'!D2)</f>
        <v>9 IT Software Solutions for Business</v>
      </c>
      <c r="C1" s="89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5"/>
      <c r="B2" s="90" t="s">
        <v>31</v>
      </c>
      <c r="C2" s="8" t="s">
        <v>299</v>
      </c>
      <c r="D2" s="25"/>
      <c r="E2" s="196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5"/>
      <c r="B3" s="90" t="s">
        <v>31</v>
      </c>
      <c r="C3" s="91" t="s">
        <v>300</v>
      </c>
      <c r="D3" s="197" t="s">
        <v>145</v>
      </c>
      <c r="E3" s="196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5"/>
      <c r="B4" s="25"/>
      <c r="C4" s="91"/>
      <c r="D4" s="25"/>
      <c r="E4" s="196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198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21.75" customHeight="1">
      <c r="A6" s="25"/>
      <c r="B6" s="31" t="s">
        <v>8</v>
      </c>
      <c r="C6" s="31" t="s">
        <v>9</v>
      </c>
      <c r="D6" s="31" t="s">
        <v>10</v>
      </c>
      <c r="E6" s="31" t="s">
        <v>134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1.75" customHeight="1">
      <c r="A7" s="25"/>
      <c r="B7" s="95">
        <v>1.0</v>
      </c>
      <c r="C7" s="68" t="s">
        <v>301</v>
      </c>
      <c r="D7" s="93" t="s">
        <v>302</v>
      </c>
      <c r="E7" s="199" t="s">
        <v>303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21.75" customHeight="1">
      <c r="A8" s="25"/>
      <c r="B8" s="95">
        <v>2.0</v>
      </c>
      <c r="C8" s="68" t="s">
        <v>304</v>
      </c>
      <c r="D8" s="93" t="s">
        <v>302</v>
      </c>
      <c r="E8" s="199" t="s">
        <v>303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5"/>
      <c r="B10" s="91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</sheetData>
  <dataValidations>
    <dataValidation type="list" allowBlank="1" sqref="D7:D8">
      <formula1>"Not started,On going,Completed,N/A"</formula1>
    </dataValidation>
  </dataValidations>
  <hyperlinks>
    <hyperlink r:id="rId1" ref="D3"/>
  </hyperlinks>
  <drawing r:id="rId2"/>
  <tableParts count="1"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.38"/>
    <col customWidth="1" min="3" max="3" width="48.5"/>
    <col customWidth="1" min="4" max="5" width="17.38"/>
    <col customWidth="1" min="6" max="6" width="12.88"/>
  </cols>
  <sheetData>
    <row r="1">
      <c r="B1" s="62" t="str">
        <f>CONCATENATE('0. Checklist'!D1, " ", '0. Checklist'!D2)</f>
        <v>9 IT Software Solutions for Business</v>
      </c>
      <c r="C1" s="1"/>
    </row>
    <row r="4" ht="22.5" customHeight="1">
      <c r="B4" s="10" t="s">
        <v>204</v>
      </c>
      <c r="C4" s="10" t="s">
        <v>305</v>
      </c>
      <c r="D4" s="10" t="s">
        <v>306</v>
      </c>
      <c r="E4" s="10" t="s">
        <v>307</v>
      </c>
    </row>
    <row r="5" ht="22.5" customHeight="1">
      <c r="B5" s="15">
        <v>1.0</v>
      </c>
      <c r="C5" s="103" t="s">
        <v>308</v>
      </c>
      <c r="D5" s="103">
        <v>3.5</v>
      </c>
      <c r="E5" s="103">
        <v>22.0</v>
      </c>
    </row>
    <row r="6" ht="22.5" customHeight="1">
      <c r="B6" s="15">
        <v>2.0</v>
      </c>
      <c r="C6" s="103" t="s">
        <v>309</v>
      </c>
      <c r="D6" s="103">
        <v>2.0</v>
      </c>
      <c r="E6" s="103">
        <v>12.0</v>
      </c>
    </row>
    <row r="7" ht="22.5" customHeight="1">
      <c r="B7" s="15">
        <v>3.0</v>
      </c>
      <c r="C7" s="103" t="s">
        <v>310</v>
      </c>
      <c r="D7" s="103">
        <v>3.5</v>
      </c>
      <c r="E7" s="103">
        <v>22.0</v>
      </c>
    </row>
    <row r="8" ht="22.5" customHeight="1">
      <c r="B8" s="15">
        <v>4.0</v>
      </c>
      <c r="C8" s="103" t="s">
        <v>311</v>
      </c>
      <c r="D8" s="103">
        <v>3.5</v>
      </c>
      <c r="E8" s="103">
        <v>22.0</v>
      </c>
    </row>
    <row r="9" ht="22.5" customHeight="1">
      <c r="B9" s="15">
        <v>5.0</v>
      </c>
      <c r="C9" s="103" t="s">
        <v>312</v>
      </c>
      <c r="D9" s="103">
        <v>3.5</v>
      </c>
      <c r="E9" s="103">
        <v>22.0</v>
      </c>
    </row>
    <row r="10" ht="22.5" customHeight="1">
      <c r="B10" s="15"/>
      <c r="C10" s="200" t="s">
        <v>313</v>
      </c>
      <c r="D10" s="20">
        <f t="shared" ref="D10:E10" si="1">sum(D5:D9)</f>
        <v>16</v>
      </c>
      <c r="E10" s="20">
        <f t="shared" si="1"/>
        <v>100</v>
      </c>
    </row>
    <row r="11">
      <c r="C11" s="1"/>
    </row>
    <row r="12" ht="21.75" customHeight="1">
      <c r="A12" s="9"/>
      <c r="B12" s="86">
        <v>6.0</v>
      </c>
      <c r="C12" s="87" t="s">
        <v>314</v>
      </c>
      <c r="D12" s="201"/>
      <c r="E12" s="87" t="s">
        <v>122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</sheetData>
  <dataValidations>
    <dataValidation type="list" allowBlank="1" sqref="E12">
      <formula1>"Not started,On-going,Completed"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3.88"/>
  </cols>
  <sheetData>
    <row r="1">
      <c r="B1" s="62" t="str">
        <f>CONCATENATE('0. Checklist'!D1, " ", '0. Checklist'!D2)</f>
        <v>9 IT Software Solutions for Business</v>
      </c>
    </row>
    <row r="3">
      <c r="B3" s="202" t="s">
        <v>315</v>
      </c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</row>
    <row r="4">
      <c r="B4" s="203"/>
      <c r="C4" s="202" t="s">
        <v>316</v>
      </c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</row>
    <row r="5">
      <c r="B5" s="204"/>
      <c r="C5" s="202" t="s">
        <v>317</v>
      </c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2"/>
      <c r="X5" s="202"/>
      <c r="Y5" s="202"/>
    </row>
    <row r="6">
      <c r="B6" s="205"/>
      <c r="C6" s="202" t="s">
        <v>318</v>
      </c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2"/>
      <c r="W6" s="202"/>
      <c r="X6" s="202"/>
      <c r="Y6" s="202"/>
    </row>
    <row r="7">
      <c r="B7" s="206"/>
      <c r="C7" s="202" t="s">
        <v>319</v>
      </c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</row>
    <row r="8">
      <c r="B8" s="1" t="s">
        <v>320</v>
      </c>
    </row>
    <row r="10">
      <c r="B10" s="207">
        <v>0.2916666666666667</v>
      </c>
      <c r="C10" s="140"/>
      <c r="D10" s="207">
        <v>0.3333333333333333</v>
      </c>
      <c r="E10" s="140"/>
      <c r="F10" s="207">
        <v>0.375</v>
      </c>
      <c r="G10" s="140"/>
      <c r="H10" s="207">
        <v>0.4166666666666667</v>
      </c>
      <c r="I10" s="140"/>
      <c r="J10" s="207">
        <v>0.4583333333333333</v>
      </c>
      <c r="K10" s="140"/>
      <c r="L10" s="207">
        <v>0.5</v>
      </c>
      <c r="M10" s="140"/>
      <c r="N10" s="207">
        <v>0.5416666666666666</v>
      </c>
      <c r="O10" s="140"/>
      <c r="P10" s="207">
        <v>0.5833333333333334</v>
      </c>
      <c r="Q10" s="140"/>
      <c r="R10" s="207">
        <v>0.625</v>
      </c>
      <c r="S10" s="140"/>
      <c r="T10" s="207">
        <v>0.6666666666666666</v>
      </c>
      <c r="U10" s="140"/>
      <c r="V10" s="207">
        <v>0.7083333333333334</v>
      </c>
      <c r="W10" s="140"/>
      <c r="X10" s="207">
        <v>0.75</v>
      </c>
      <c r="Y10" s="140"/>
    </row>
    <row r="11"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3"/>
      <c r="P11" s="208"/>
      <c r="Q11" s="208"/>
      <c r="R11" s="208"/>
      <c r="S11" s="208"/>
      <c r="T11" s="208"/>
      <c r="U11" s="208"/>
      <c r="V11" s="208"/>
      <c r="W11" s="208"/>
      <c r="X11" s="208"/>
      <c r="Y11" s="208"/>
    </row>
    <row r="12">
      <c r="B12" s="208"/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4"/>
      <c r="Q12" s="204"/>
      <c r="R12" s="204"/>
      <c r="S12" s="204"/>
      <c r="T12" s="204"/>
      <c r="U12" s="204"/>
      <c r="V12" s="208"/>
      <c r="W12" s="208"/>
      <c r="X12" s="208"/>
      <c r="Y12" s="208"/>
    </row>
    <row r="13">
      <c r="B13" s="208"/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5"/>
      <c r="N13" s="205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</row>
    <row r="14">
      <c r="B14" s="1" t="s">
        <v>321</v>
      </c>
    </row>
    <row r="16">
      <c r="B16" s="207">
        <v>0.2916666666666667</v>
      </c>
      <c r="C16" s="140"/>
      <c r="D16" s="207">
        <v>0.3333333333333333</v>
      </c>
      <c r="E16" s="140"/>
      <c r="F16" s="207">
        <v>0.375</v>
      </c>
      <c r="G16" s="140"/>
      <c r="H16" s="207">
        <v>0.4166666666666667</v>
      </c>
      <c r="I16" s="140"/>
      <c r="J16" s="207">
        <v>0.4583333333333333</v>
      </c>
      <c r="K16" s="140"/>
      <c r="L16" s="207">
        <v>0.5</v>
      </c>
      <c r="M16" s="140"/>
      <c r="N16" s="207">
        <v>0.5416666666666666</v>
      </c>
      <c r="O16" s="140"/>
      <c r="P16" s="207">
        <v>0.5833333333333334</v>
      </c>
      <c r="Q16" s="140"/>
      <c r="R16" s="207">
        <v>0.625</v>
      </c>
      <c r="S16" s="140"/>
      <c r="T16" s="207">
        <v>0.6666666666666666</v>
      </c>
      <c r="U16" s="140"/>
      <c r="V16" s="207">
        <v>0.7083333333333334</v>
      </c>
      <c r="W16" s="140"/>
      <c r="X16" s="207">
        <v>0.75</v>
      </c>
      <c r="Y16" s="140"/>
    </row>
    <row r="17">
      <c r="B17" s="208"/>
      <c r="C17" s="208"/>
      <c r="D17" s="208"/>
      <c r="E17" s="208"/>
      <c r="F17" s="203"/>
      <c r="G17" s="208"/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</row>
    <row r="18">
      <c r="B18" s="208"/>
      <c r="C18" s="208"/>
      <c r="D18" s="208"/>
      <c r="E18" s="208"/>
      <c r="F18" s="208"/>
      <c r="G18" s="204"/>
      <c r="H18" s="204"/>
      <c r="I18" s="204"/>
      <c r="J18" s="204"/>
      <c r="K18" s="204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</row>
    <row r="19">
      <c r="B19" s="208"/>
      <c r="C19" s="208"/>
      <c r="D19" s="208"/>
      <c r="E19" s="208"/>
      <c r="F19" s="208"/>
      <c r="G19" s="208"/>
      <c r="H19" s="208"/>
      <c r="I19" s="208"/>
      <c r="J19" s="208"/>
      <c r="K19" s="208"/>
      <c r="L19" s="205"/>
      <c r="M19" s="205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</row>
    <row r="20">
      <c r="B20" s="1" t="s">
        <v>322</v>
      </c>
    </row>
    <row r="22">
      <c r="B22" s="207">
        <v>0.2916666666666667</v>
      </c>
      <c r="C22" s="140"/>
      <c r="D22" s="207">
        <v>0.3333333333333333</v>
      </c>
      <c r="E22" s="140"/>
      <c r="F22" s="207">
        <v>0.375</v>
      </c>
      <c r="G22" s="140"/>
      <c r="H22" s="207">
        <v>0.4166666666666667</v>
      </c>
      <c r="I22" s="140"/>
      <c r="J22" s="207">
        <v>0.4583333333333333</v>
      </c>
      <c r="K22" s="140"/>
      <c r="L22" s="207">
        <v>0.5</v>
      </c>
      <c r="M22" s="140"/>
      <c r="N22" s="207">
        <v>0.5416666666666666</v>
      </c>
      <c r="O22" s="140"/>
      <c r="P22" s="207">
        <v>0.5833333333333334</v>
      </c>
      <c r="Q22" s="140"/>
      <c r="R22" s="207">
        <v>0.625</v>
      </c>
      <c r="S22" s="140"/>
      <c r="T22" s="207">
        <v>0.6666666666666666</v>
      </c>
      <c r="U22" s="140"/>
      <c r="V22" s="207">
        <v>0.7083333333333334</v>
      </c>
      <c r="W22" s="140"/>
      <c r="X22" s="207">
        <v>0.75</v>
      </c>
      <c r="Y22" s="140"/>
    </row>
    <row r="23">
      <c r="B23" s="208"/>
      <c r="C23" s="208"/>
      <c r="D23" s="208"/>
      <c r="E23" s="203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</row>
    <row r="24">
      <c r="B24" s="208"/>
      <c r="C24" s="208"/>
      <c r="D24" s="208"/>
      <c r="E24" s="208"/>
      <c r="F24" s="204"/>
      <c r="G24" s="204"/>
      <c r="H24" s="204"/>
      <c r="I24" s="204"/>
      <c r="J24" s="204"/>
      <c r="K24" s="204"/>
      <c r="L24" s="204"/>
      <c r="M24" s="204"/>
      <c r="N24" s="208"/>
      <c r="O24" s="208"/>
      <c r="P24" s="204"/>
      <c r="Q24" s="204"/>
      <c r="R24" s="204"/>
      <c r="S24" s="204"/>
      <c r="T24" s="204"/>
      <c r="U24" s="208"/>
      <c r="V24" s="208"/>
      <c r="W24" s="208"/>
      <c r="X24" s="208"/>
      <c r="Y24" s="208"/>
    </row>
    <row r="25">
      <c r="B25" s="208"/>
      <c r="C25" s="208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5"/>
      <c r="O25" s="205"/>
      <c r="P25" s="208"/>
      <c r="Q25" s="208"/>
      <c r="R25" s="208"/>
      <c r="S25" s="208"/>
      <c r="T25" s="208"/>
      <c r="U25" s="208"/>
      <c r="V25" s="208"/>
      <c r="W25" s="208"/>
      <c r="X25" s="208"/>
      <c r="Y25" s="208"/>
    </row>
    <row r="26">
      <c r="B26" s="1" t="s">
        <v>323</v>
      </c>
    </row>
    <row r="28">
      <c r="B28" s="207">
        <v>0.2916666666666667</v>
      </c>
      <c r="C28" s="140"/>
      <c r="D28" s="207">
        <v>0.3333333333333333</v>
      </c>
      <c r="E28" s="140"/>
      <c r="F28" s="207">
        <v>0.375</v>
      </c>
      <c r="G28" s="140"/>
      <c r="H28" s="207">
        <v>0.4166666666666667</v>
      </c>
      <c r="I28" s="140"/>
      <c r="J28" s="207">
        <v>0.4583333333333333</v>
      </c>
      <c r="K28" s="140"/>
      <c r="L28" s="207">
        <v>0.5</v>
      </c>
      <c r="M28" s="140"/>
      <c r="N28" s="207">
        <v>0.5416666666666666</v>
      </c>
      <c r="O28" s="140"/>
      <c r="P28" s="207">
        <v>0.5833333333333334</v>
      </c>
      <c r="Q28" s="140"/>
      <c r="R28" s="207">
        <v>0.625</v>
      </c>
      <c r="S28" s="140"/>
      <c r="T28" s="207">
        <v>0.6666666666666666</v>
      </c>
      <c r="U28" s="140"/>
      <c r="V28" s="207">
        <v>0.7083333333333334</v>
      </c>
      <c r="W28" s="140"/>
      <c r="X28" s="207">
        <v>0.75</v>
      </c>
      <c r="Y28" s="140"/>
    </row>
    <row r="29">
      <c r="B29" s="208"/>
      <c r="C29" s="208"/>
      <c r="D29" s="208"/>
      <c r="E29" s="203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</row>
    <row r="30">
      <c r="B30" s="208"/>
      <c r="C30" s="208"/>
      <c r="D30" s="208"/>
      <c r="E30" s="208"/>
      <c r="F30" s="204"/>
      <c r="G30" s="204"/>
      <c r="H30" s="204"/>
      <c r="I30" s="204"/>
      <c r="J30" s="204"/>
      <c r="K30" s="204"/>
      <c r="L30" s="204"/>
      <c r="M30" s="204"/>
      <c r="N30" s="208"/>
      <c r="O30" s="208"/>
      <c r="P30" s="204"/>
      <c r="Q30" s="204"/>
      <c r="R30" s="204"/>
      <c r="S30" s="204"/>
      <c r="T30" s="204"/>
      <c r="U30" s="204"/>
      <c r="V30" s="204"/>
      <c r="W30" s="204"/>
      <c r="X30" s="208"/>
      <c r="Y30" s="208"/>
    </row>
    <row r="31">
      <c r="B31" s="208"/>
      <c r="C31" s="208"/>
      <c r="D31" s="208"/>
      <c r="E31" s="208"/>
      <c r="F31" s="208"/>
      <c r="G31" s="208"/>
      <c r="H31" s="208"/>
      <c r="I31" s="208"/>
      <c r="J31" s="208"/>
      <c r="K31" s="208"/>
      <c r="L31" s="208"/>
      <c r="M31" s="208"/>
      <c r="N31" s="205"/>
      <c r="O31" s="205"/>
      <c r="P31" s="208"/>
      <c r="Q31" s="208"/>
      <c r="R31" s="208"/>
      <c r="S31" s="208"/>
      <c r="T31" s="208"/>
      <c r="U31" s="208"/>
      <c r="V31" s="208"/>
      <c r="W31" s="208"/>
      <c r="X31" s="208"/>
      <c r="Y31" s="208"/>
    </row>
    <row r="32">
      <c r="B32" s="1" t="s">
        <v>324</v>
      </c>
    </row>
    <row r="34">
      <c r="B34" s="207">
        <v>0.2916666666666667</v>
      </c>
      <c r="C34" s="140"/>
      <c r="D34" s="207">
        <v>0.3333333333333333</v>
      </c>
      <c r="E34" s="140"/>
      <c r="F34" s="207">
        <v>0.375</v>
      </c>
      <c r="G34" s="140"/>
      <c r="H34" s="207">
        <v>0.4166666666666667</v>
      </c>
      <c r="I34" s="140"/>
      <c r="J34" s="207">
        <v>0.4583333333333333</v>
      </c>
      <c r="K34" s="140"/>
      <c r="L34" s="207">
        <v>0.5</v>
      </c>
      <c r="M34" s="140"/>
      <c r="N34" s="207">
        <v>0.5416666666666666</v>
      </c>
      <c r="O34" s="140"/>
      <c r="P34" s="207">
        <v>0.5833333333333334</v>
      </c>
      <c r="Q34" s="140"/>
      <c r="R34" s="207">
        <v>0.625</v>
      </c>
      <c r="S34" s="140"/>
      <c r="T34" s="207">
        <v>0.6666666666666666</v>
      </c>
      <c r="U34" s="140"/>
      <c r="V34" s="207">
        <v>0.7083333333333334</v>
      </c>
      <c r="W34" s="140"/>
      <c r="X34" s="207">
        <v>0.75</v>
      </c>
      <c r="Y34" s="140"/>
    </row>
    <row r="35">
      <c r="B35" s="208"/>
      <c r="C35" s="208"/>
      <c r="D35" s="208"/>
      <c r="E35" s="203"/>
      <c r="F35" s="208"/>
      <c r="G35" s="208"/>
      <c r="H35" s="208"/>
      <c r="I35" s="208"/>
      <c r="J35" s="208"/>
      <c r="K35" s="208"/>
      <c r="L35" s="208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</row>
    <row r="36">
      <c r="B36" s="208"/>
      <c r="C36" s="208"/>
      <c r="D36" s="208"/>
      <c r="E36" s="208"/>
      <c r="F36" s="204"/>
      <c r="G36" s="204"/>
      <c r="H36" s="204"/>
      <c r="I36" s="204"/>
      <c r="J36" s="204"/>
      <c r="K36" s="204"/>
      <c r="L36" s="204"/>
      <c r="M36" s="204"/>
      <c r="N36" s="208"/>
      <c r="O36" s="208"/>
      <c r="P36" s="206"/>
      <c r="Q36" s="206"/>
      <c r="R36" s="206"/>
      <c r="S36" s="208"/>
      <c r="T36" s="208"/>
      <c r="U36" s="208"/>
      <c r="V36" s="208"/>
      <c r="W36" s="208"/>
      <c r="X36" s="208"/>
      <c r="Y36" s="208"/>
    </row>
    <row r="37">
      <c r="B37" s="208"/>
      <c r="C37" s="208"/>
      <c r="D37" s="208"/>
      <c r="E37" s="208"/>
      <c r="F37" s="208"/>
      <c r="G37" s="208"/>
      <c r="H37" s="208"/>
      <c r="I37" s="208"/>
      <c r="J37" s="208"/>
      <c r="K37" s="208"/>
      <c r="L37" s="208"/>
      <c r="M37" s="208"/>
      <c r="N37" s="205"/>
      <c r="O37" s="205"/>
      <c r="P37" s="208"/>
      <c r="Q37" s="208"/>
      <c r="R37" s="208"/>
      <c r="S37" s="208"/>
      <c r="T37" s="208"/>
      <c r="U37" s="208"/>
      <c r="V37" s="208"/>
      <c r="W37" s="208"/>
      <c r="X37" s="208"/>
      <c r="Y37" s="208"/>
    </row>
    <row r="39" ht="18.75" customHeight="1">
      <c r="B39" s="86">
        <v>1.0</v>
      </c>
      <c r="C39" s="209" t="s">
        <v>325</v>
      </c>
      <c r="D39" s="210"/>
      <c r="E39" s="210"/>
      <c r="F39" s="210"/>
      <c r="G39" s="210"/>
      <c r="H39" s="210"/>
      <c r="I39" s="210"/>
      <c r="J39" s="210"/>
      <c r="K39" s="210"/>
      <c r="L39" s="210"/>
      <c r="M39" s="210"/>
      <c r="N39" s="140"/>
      <c r="O39" s="209" t="s">
        <v>122</v>
      </c>
      <c r="P39" s="210"/>
      <c r="Q39" s="210"/>
      <c r="R39" s="140"/>
    </row>
  </sheetData>
  <mergeCells count="67">
    <mergeCell ref="P22:Q22"/>
    <mergeCell ref="R22:S22"/>
    <mergeCell ref="T22:U22"/>
    <mergeCell ref="V22:W22"/>
    <mergeCell ref="X22:Y22"/>
    <mergeCell ref="D22:E22"/>
    <mergeCell ref="F22:G22"/>
    <mergeCell ref="H22:I22"/>
    <mergeCell ref="J22:K22"/>
    <mergeCell ref="L22:M22"/>
    <mergeCell ref="N22:O22"/>
    <mergeCell ref="B26:Y27"/>
    <mergeCell ref="N28:O28"/>
    <mergeCell ref="P28:Q28"/>
    <mergeCell ref="R28:S28"/>
    <mergeCell ref="T28:U28"/>
    <mergeCell ref="V28:W28"/>
    <mergeCell ref="X28:Y28"/>
    <mergeCell ref="B32:Y33"/>
    <mergeCell ref="P34:Q34"/>
    <mergeCell ref="R34:S34"/>
    <mergeCell ref="T34:U34"/>
    <mergeCell ref="V34:W34"/>
    <mergeCell ref="X34:Y34"/>
    <mergeCell ref="C39:N39"/>
    <mergeCell ref="O39:R39"/>
    <mergeCell ref="B34:C34"/>
    <mergeCell ref="D34:E34"/>
    <mergeCell ref="F34:G34"/>
    <mergeCell ref="H34:I34"/>
    <mergeCell ref="J34:K34"/>
    <mergeCell ref="L34:M34"/>
    <mergeCell ref="N34:O34"/>
    <mergeCell ref="N10:O10"/>
    <mergeCell ref="P10:Q10"/>
    <mergeCell ref="R10:S10"/>
    <mergeCell ref="T10:U10"/>
    <mergeCell ref="V10:W10"/>
    <mergeCell ref="X10:Y10"/>
    <mergeCell ref="B8:Y9"/>
    <mergeCell ref="D10:E10"/>
    <mergeCell ref="F10:G10"/>
    <mergeCell ref="H10:I10"/>
    <mergeCell ref="J10:K10"/>
    <mergeCell ref="L10:M10"/>
    <mergeCell ref="B14:Y15"/>
    <mergeCell ref="B10:C10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B20:Y21"/>
    <mergeCell ref="B22:C22"/>
    <mergeCell ref="B28:C28"/>
    <mergeCell ref="D28:E28"/>
    <mergeCell ref="F28:G28"/>
    <mergeCell ref="H28:I28"/>
    <mergeCell ref="J28:K28"/>
    <mergeCell ref="L28:M28"/>
  </mergeCells>
  <dataValidations>
    <dataValidation type="list" allowBlank="1" sqref="O39">
      <formula1>"Not started,On-going,Completed"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0"/>
    <col customWidth="1" min="3" max="3" width="27.38"/>
    <col customWidth="1" min="4" max="6" width="18.25"/>
  </cols>
  <sheetData>
    <row r="1">
      <c r="B1" s="62" t="str">
        <f>CONCATENATE('0. Checklist'!D1, " ", '0. Checklist'!D2)</f>
        <v>9 IT Software Solutions for Business</v>
      </c>
      <c r="C1" s="89"/>
    </row>
    <row r="2">
      <c r="B2" s="107" t="s">
        <v>31</v>
      </c>
      <c r="C2" s="211" t="s">
        <v>145</v>
      </c>
    </row>
    <row r="3">
      <c r="B3" s="212"/>
    </row>
    <row r="4" ht="24.0" customHeight="1">
      <c r="A4" s="9"/>
      <c r="B4" s="87">
        <v>1.0</v>
      </c>
      <c r="C4" s="209" t="s">
        <v>326</v>
      </c>
      <c r="D4" s="210"/>
      <c r="E4" s="140"/>
      <c r="F4" s="87" t="s">
        <v>122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</sheetData>
  <mergeCells count="1">
    <mergeCell ref="C4:E4"/>
  </mergeCells>
  <dataValidations>
    <dataValidation type="list" allowBlank="1" sqref="F4">
      <formula1>"Not started,On-going,Completed"</formula1>
    </dataValidation>
  </dataValidations>
  <hyperlinks>
    <hyperlink r:id="rId1" ref="C2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0"/>
    <col customWidth="1" min="3" max="3" width="27.38"/>
    <col customWidth="1" min="4" max="6" width="18.25"/>
  </cols>
  <sheetData>
    <row r="1">
      <c r="B1" s="62" t="str">
        <f>CONCATENATE('0. Checklist'!D1, " ", '0. Checklist'!D2)</f>
        <v>9 IT Software Solutions for Business</v>
      </c>
      <c r="C1" s="89"/>
    </row>
    <row r="2">
      <c r="C2" s="89"/>
      <c r="D2" s="115" t="s">
        <v>145</v>
      </c>
    </row>
    <row r="4" ht="22.5" customHeight="1">
      <c r="B4" s="213" t="s">
        <v>8</v>
      </c>
      <c r="C4" s="15" t="s">
        <v>327</v>
      </c>
      <c r="D4" s="15" t="s">
        <v>328</v>
      </c>
      <c r="E4" s="15" t="s">
        <v>329</v>
      </c>
      <c r="F4" s="15" t="s">
        <v>330</v>
      </c>
    </row>
    <row r="5" ht="22.5" customHeight="1">
      <c r="B5" s="109">
        <v>1.0</v>
      </c>
      <c r="C5" s="103" t="s">
        <v>331</v>
      </c>
      <c r="D5" s="109" t="s">
        <v>332</v>
      </c>
      <c r="E5" s="103">
        <v>100.0</v>
      </c>
      <c r="F5" s="103">
        <v>100.0</v>
      </c>
    </row>
    <row r="6" ht="22.5" customHeight="1">
      <c r="B6" s="109">
        <v>2.0</v>
      </c>
      <c r="C6" s="103" t="s">
        <v>333</v>
      </c>
      <c r="D6" s="109">
        <v>0.0</v>
      </c>
      <c r="E6" s="103">
        <v>0.0</v>
      </c>
      <c r="F6" s="103">
        <v>0.0</v>
      </c>
    </row>
    <row r="7" ht="22.5" customHeight="1">
      <c r="B7" s="214"/>
      <c r="C7" s="103" t="s">
        <v>138</v>
      </c>
      <c r="D7" s="109" t="s">
        <v>332</v>
      </c>
      <c r="E7" s="20">
        <f t="shared" ref="E7:F7" si="1">SUM(E5:E6)</f>
        <v>100</v>
      </c>
      <c r="F7" s="20">
        <f t="shared" si="1"/>
        <v>100</v>
      </c>
    </row>
    <row r="8">
      <c r="B8" s="212"/>
    </row>
    <row r="9" ht="24.0" customHeight="1">
      <c r="A9" s="9"/>
      <c r="B9" s="215">
        <v>3.0</v>
      </c>
      <c r="C9" s="209" t="s">
        <v>334</v>
      </c>
      <c r="D9" s="58" t="s">
        <v>72</v>
      </c>
      <c r="E9" s="201"/>
      <c r="F9" s="87" t="s">
        <v>122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24.0" customHeight="1">
      <c r="A10" s="9"/>
      <c r="B10" s="87">
        <v>4.0</v>
      </c>
      <c r="C10" s="209" t="s">
        <v>335</v>
      </c>
      <c r="D10" s="210"/>
      <c r="E10" s="140"/>
      <c r="F10" s="87" t="s">
        <v>336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24.0" customHeight="1">
      <c r="A11" s="9"/>
      <c r="B11" s="87">
        <v>5.0</v>
      </c>
      <c r="C11" s="209" t="s">
        <v>337</v>
      </c>
      <c r="D11" s="210"/>
      <c r="E11" s="140"/>
      <c r="F11" s="87" t="s">
        <v>336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24.0" customHeight="1">
      <c r="A12" s="9"/>
      <c r="B12" s="87">
        <v>6.0</v>
      </c>
      <c r="C12" s="209" t="s">
        <v>338</v>
      </c>
      <c r="D12" s="210"/>
      <c r="E12" s="140"/>
      <c r="F12" s="216" t="s">
        <v>339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4">
      <c r="C14" s="217"/>
    </row>
  </sheetData>
  <mergeCells count="3">
    <mergeCell ref="C10:E10"/>
    <mergeCell ref="C11:E11"/>
    <mergeCell ref="C12:E12"/>
  </mergeCells>
  <dataValidations>
    <dataValidation type="list" allowBlank="1" sqref="D9">
      <formula1>"No,Yes,N/A"</formula1>
    </dataValidation>
    <dataValidation type="list" allowBlank="1" sqref="F9:F11">
      <formula1>"Not started,On-going,Completed"</formula1>
    </dataValidation>
  </dataValidations>
  <hyperlinks>
    <hyperlink r:id="rId1" ref="D2"/>
  </hyperlinks>
  <drawing r:id="rId2"/>
  <tableParts count="1"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.63"/>
    <col customWidth="1" min="3" max="3" width="16.88"/>
    <col customWidth="1" min="4" max="4" width="34.5"/>
    <col customWidth="1" min="5" max="5" width="14.25"/>
    <col customWidth="1" min="6" max="6" width="16.63"/>
  </cols>
  <sheetData>
    <row r="1">
      <c r="B1" s="62" t="str">
        <f>CONCATENATE('0. Checklist'!D1, " ", '0. Checklist'!D2)</f>
        <v>9 IT Software Solutions for Business</v>
      </c>
      <c r="C1" s="89"/>
    </row>
    <row r="2">
      <c r="B2" s="114" t="s">
        <v>31</v>
      </c>
      <c r="C2" s="8" t="s">
        <v>340</v>
      </c>
      <c r="E2" s="116" t="s">
        <v>145</v>
      </c>
    </row>
    <row r="3">
      <c r="G3" s="8" t="s">
        <v>341</v>
      </c>
    </row>
    <row r="4" ht="26.25" customHeight="1">
      <c r="B4" s="87">
        <v>1.0</v>
      </c>
      <c r="C4" s="218" t="s">
        <v>342</v>
      </c>
      <c r="D4" s="219"/>
      <c r="E4" s="201"/>
      <c r="F4" s="87" t="s">
        <v>122</v>
      </c>
      <c r="G4" s="220" t="s">
        <v>343</v>
      </c>
    </row>
  </sheetData>
  <dataValidations>
    <dataValidation type="list" allowBlank="1" sqref="F4">
      <formula1>"Not started,Ongoing,Completed"</formula1>
    </dataValidation>
  </dataValidations>
  <hyperlinks>
    <hyperlink r:id="rId1" ref="E2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.0"/>
    <col customWidth="1" min="3" max="3" width="40.38"/>
    <col customWidth="1" min="4" max="4" width="18.88"/>
    <col customWidth="1" min="5" max="5" width="25.63"/>
  </cols>
  <sheetData>
    <row r="1">
      <c r="A1" s="25"/>
      <c r="B1" s="62" t="str">
        <f>CONCATENATE('0. Checklist'!D1, " ", '0. Checklist'!D2)</f>
        <v>9 IT Software Solutions for Business</v>
      </c>
      <c r="C1" s="89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22.5" customHeight="1">
      <c r="A4" s="88"/>
      <c r="B4" s="221" t="s">
        <v>8</v>
      </c>
      <c r="C4" s="221" t="s">
        <v>148</v>
      </c>
      <c r="D4" s="221" t="s">
        <v>10</v>
      </c>
      <c r="E4" s="221" t="s">
        <v>134</v>
      </c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 ht="22.5" customHeight="1">
      <c r="A5" s="25"/>
      <c r="B5" s="68">
        <v>1.0</v>
      </c>
      <c r="C5" s="84"/>
      <c r="D5" s="68" t="s">
        <v>122</v>
      </c>
      <c r="E5" s="68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22.5" customHeight="1">
      <c r="A6" s="25"/>
      <c r="B6" s="68">
        <v>2.0</v>
      </c>
      <c r="C6" s="84"/>
      <c r="D6" s="68" t="s">
        <v>122</v>
      </c>
      <c r="E6" s="84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22.5" customHeight="1">
      <c r="A7" s="25"/>
      <c r="B7" s="68">
        <v>3.0</v>
      </c>
      <c r="C7" s="84"/>
      <c r="D7" s="68" t="s">
        <v>122</v>
      </c>
      <c r="E7" s="84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22.5" customHeight="1">
      <c r="A8" s="25"/>
      <c r="B8" s="68">
        <v>4.0</v>
      </c>
      <c r="C8" s="84"/>
      <c r="D8" s="68" t="s">
        <v>122</v>
      </c>
      <c r="E8" s="84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</sheetData>
  <dataValidations>
    <dataValidation type="list" allowBlank="1" showErrorMessage="1" sqref="D5:D8">
      <formula1>"Not started,On going,Completed"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70.0"/>
    <col customWidth="1" min="3" max="4" width="25.63"/>
    <col customWidth="1" min="9" max="9" width="26.63"/>
    <col customWidth="1" min="10" max="10" width="16.25"/>
    <col customWidth="1" min="11" max="11" width="23.13"/>
  </cols>
  <sheetData>
    <row r="1">
      <c r="A1" s="9"/>
      <c r="B1" s="9"/>
      <c r="C1" s="98"/>
      <c r="D1" s="9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9"/>
      <c r="B2" s="9"/>
      <c r="C2" s="98"/>
      <c r="D2" s="9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22.5" customHeight="1">
      <c r="A3" s="222" t="s">
        <v>8</v>
      </c>
      <c r="B3" s="222" t="s">
        <v>344</v>
      </c>
      <c r="C3" s="222" t="s">
        <v>10</v>
      </c>
      <c r="D3" s="223" t="s">
        <v>134</v>
      </c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</row>
    <row r="4" ht="22.5" customHeight="1">
      <c r="A4" s="103">
        <v>1.0</v>
      </c>
      <c r="B4" s="103" t="s">
        <v>345</v>
      </c>
      <c r="C4" s="224" t="str">
        <f>'0. Checklist'!D13</f>
        <v>Completed</v>
      </c>
      <c r="D4" s="224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22.5" customHeight="1">
      <c r="A5" s="103">
        <v>1.1</v>
      </c>
      <c r="B5" s="103" t="s">
        <v>346</v>
      </c>
      <c r="C5" s="224">
        <f>'5. Members Contact List'!D3</f>
        <v>12</v>
      </c>
      <c r="D5" s="224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22.5" customHeight="1">
      <c r="A6" s="103">
        <v>1.2</v>
      </c>
      <c r="B6" s="103" t="s">
        <v>347</v>
      </c>
      <c r="C6" s="224">
        <f>'5. Members Contact List'!D2</f>
        <v>9</v>
      </c>
      <c r="D6" s="224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22.5" customHeight="1">
      <c r="A7" s="103">
        <v>2.0</v>
      </c>
      <c r="B7" s="103" t="s">
        <v>348</v>
      </c>
      <c r="C7" s="224">
        <f>'6. No. of Competitors'!D5</f>
        <v>12</v>
      </c>
      <c r="D7" s="225" t="s">
        <v>349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22.5" customHeight="1">
      <c r="A8" s="103">
        <v>3.0</v>
      </c>
      <c r="B8" s="103" t="s">
        <v>350</v>
      </c>
      <c r="C8" s="224" t="str">
        <f>'0. Checklist'!D15</f>
        <v>Completed</v>
      </c>
      <c r="D8" s="224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22.5" customHeight="1">
      <c r="A9" s="103">
        <v>4.0</v>
      </c>
      <c r="B9" s="17" t="s">
        <v>351</v>
      </c>
      <c r="C9" s="224" t="str">
        <f>'0. Checklist'!D16</f>
        <v>Completed</v>
      </c>
      <c r="D9" s="224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ht="22.5" customHeight="1">
      <c r="A10" s="103">
        <v>4.1</v>
      </c>
      <c r="B10" s="226" t="s">
        <v>352</v>
      </c>
      <c r="C10" s="227" t="str">
        <f>'8. Technical Description'!E8</f>
        <v>Adopted WS Lyon 2024</v>
      </c>
      <c r="D10" s="227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22.5" customHeight="1">
      <c r="A11" s="103">
        <v>4.2</v>
      </c>
      <c r="B11" s="103" t="s">
        <v>353</v>
      </c>
      <c r="C11" s="224" t="str">
        <f>'8. Technical Description'!D23</f>
        <v>Completed</v>
      </c>
      <c r="D11" s="224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22.5" customHeight="1">
      <c r="A12" s="103">
        <v>5.0</v>
      </c>
      <c r="B12" s="17" t="s">
        <v>354</v>
      </c>
      <c r="C12" s="224" t="str">
        <f>'0. Checklist'!D17</f>
        <v>Completed</v>
      </c>
      <c r="D12" s="224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22.5" customHeight="1">
      <c r="A13" s="103">
        <v>6.0</v>
      </c>
      <c r="B13" s="17" t="s">
        <v>355</v>
      </c>
      <c r="C13" s="224" t="str">
        <f>'0. Checklist'!D18</f>
        <v>Completed</v>
      </c>
      <c r="D13" s="224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t="22.5" customHeight="1">
      <c r="A14" s="103">
        <v>6.1</v>
      </c>
      <c r="B14" s="103" t="s">
        <v>356</v>
      </c>
      <c r="C14" s="224" t="str">
        <f>'11. Common Furniture'!E19</f>
        <v>Completed</v>
      </c>
      <c r="D14" s="224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ht="22.5" customHeight="1">
      <c r="A15" s="103">
        <v>7.0</v>
      </c>
      <c r="B15" s="17" t="s">
        <v>357</v>
      </c>
      <c r="C15" s="224" t="str">
        <f>'0. Checklist'!D20</f>
        <v>Completed</v>
      </c>
      <c r="D15" s="224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ht="22.5" customHeight="1">
      <c r="A16" s="103">
        <v>8.0</v>
      </c>
      <c r="B16" s="17" t="s">
        <v>358</v>
      </c>
      <c r="C16" s="224" t="str">
        <f>'0. Checklist'!D21</f>
        <v>On-going</v>
      </c>
      <c r="D16" s="225" t="s">
        <v>303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ht="22.5" customHeight="1">
      <c r="A17" s="103">
        <v>8.1</v>
      </c>
      <c r="B17" s="103" t="s">
        <v>359</v>
      </c>
      <c r="C17" s="224" t="str">
        <f>'14. Modules'!E12</f>
        <v>Completed</v>
      </c>
      <c r="D17" s="224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ht="22.5" customHeight="1">
      <c r="A18" s="103">
        <v>8.2</v>
      </c>
      <c r="B18" s="103" t="s">
        <v>360</v>
      </c>
      <c r="C18" s="224" t="str">
        <f>'15. Competition Timetable'!O39</f>
        <v>Completed</v>
      </c>
      <c r="D18" s="224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ht="22.5" customHeight="1">
      <c r="A19" s="103">
        <v>9.0</v>
      </c>
      <c r="B19" s="17" t="s">
        <v>361</v>
      </c>
      <c r="C19" s="224" t="str">
        <f>'16. Standards and Assessment Gu'!F4</f>
        <v>Completed</v>
      </c>
      <c r="D19" s="224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ht="22.5" customHeight="1">
      <c r="A20" s="103">
        <v>10.0</v>
      </c>
      <c r="B20" s="17" t="s">
        <v>362</v>
      </c>
      <c r="C20" s="224" t="str">
        <f>'17. Marking Scheme'!F10</f>
        <v>On-going</v>
      </c>
      <c r="D20" s="224" t="str">
        <f>'17. Marking Scheme'!F12</f>
        <v>To be completed during the 2nd TCM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ht="22.5" customHeight="1">
      <c r="A21" s="103">
        <v>10.1</v>
      </c>
      <c r="B21" s="103" t="s">
        <v>363</v>
      </c>
      <c r="C21" s="224" t="str">
        <f>'17. Marking Scheme'!D9</f>
        <v>N/A</v>
      </c>
      <c r="D21" s="224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22.5" customHeight="1">
      <c r="A22" s="103">
        <v>10.2</v>
      </c>
      <c r="B22" s="103" t="s">
        <v>364</v>
      </c>
      <c r="C22" s="224" t="str">
        <f>'17. Marking Scheme'!F11</f>
        <v>On-going</v>
      </c>
      <c r="D22" s="228" t="s">
        <v>339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22.5" customHeight="1">
      <c r="A23" s="103">
        <v>11.0</v>
      </c>
      <c r="B23" s="17" t="s">
        <v>365</v>
      </c>
      <c r="C23" s="224" t="str">
        <f>'0. Checklist'!D26</f>
        <v>Completed</v>
      </c>
      <c r="D23" s="224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22.5" customHeight="1">
      <c r="A24" s="103">
        <v>12.0</v>
      </c>
      <c r="B24" s="19" t="s">
        <v>29</v>
      </c>
      <c r="C24" s="224"/>
      <c r="D24" s="224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22.5" customHeight="1">
      <c r="A25" s="103">
        <v>13.0</v>
      </c>
      <c r="B25" s="17" t="s">
        <v>366</v>
      </c>
      <c r="C25" s="224"/>
      <c r="D25" s="224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"/>
      <c r="B26" s="9"/>
      <c r="C26" s="98"/>
      <c r="D26" s="98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9"/>
      <c r="B27" s="9"/>
      <c r="C27" s="98"/>
      <c r="D27" s="98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9"/>
      <c r="B28" s="9"/>
      <c r="C28" s="98"/>
      <c r="D28" s="98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9"/>
      <c r="B29" s="9"/>
      <c r="C29" s="98"/>
      <c r="D29" s="98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9"/>
      <c r="B30" s="9"/>
      <c r="C30" s="98"/>
      <c r="D30" s="98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9"/>
      <c r="B31" s="9"/>
      <c r="C31" s="98"/>
      <c r="D31" s="98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9"/>
      <c r="B32" s="9"/>
      <c r="C32" s="98"/>
      <c r="D32" s="98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9"/>
      <c r="B33" s="9"/>
      <c r="C33" s="98"/>
      <c r="D33" s="98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9"/>
      <c r="B34" s="9"/>
      <c r="C34" s="98"/>
      <c r="D34" s="98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9"/>
      <c r="B35" s="9"/>
      <c r="C35" s="98"/>
      <c r="D35" s="98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9"/>
      <c r="B36" s="9"/>
      <c r="C36" s="98"/>
      <c r="D36" s="98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9"/>
      <c r="B37" s="9"/>
      <c r="C37" s="98"/>
      <c r="D37" s="98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9"/>
      <c r="B38" s="9"/>
      <c r="C38" s="98"/>
      <c r="D38" s="98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9"/>
      <c r="B39" s="9"/>
      <c r="C39" s="98"/>
      <c r="D39" s="98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9"/>
      <c r="B40" s="9"/>
      <c r="C40" s="98"/>
      <c r="D40" s="98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9"/>
      <c r="B41" s="9"/>
      <c r="C41" s="98"/>
      <c r="D41" s="98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9"/>
      <c r="B42" s="9"/>
      <c r="C42" s="98"/>
      <c r="D42" s="98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9"/>
      <c r="B43" s="9"/>
      <c r="C43" s="98"/>
      <c r="D43" s="98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9"/>
      <c r="B44" s="9"/>
      <c r="C44" s="98"/>
      <c r="D44" s="98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9"/>
      <c r="B45" s="9"/>
      <c r="C45" s="98"/>
      <c r="D45" s="98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9"/>
      <c r="B46" s="9"/>
      <c r="C46" s="98"/>
      <c r="D46" s="98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9"/>
      <c r="B47" s="9"/>
      <c r="C47" s="98"/>
      <c r="D47" s="98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9"/>
      <c r="B48" s="9"/>
      <c r="C48" s="98"/>
      <c r="D48" s="98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9"/>
      <c r="B49" s="9"/>
      <c r="C49" s="98"/>
      <c r="D49" s="98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9"/>
      <c r="B50" s="9"/>
      <c r="C50" s="98"/>
      <c r="D50" s="98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9"/>
      <c r="B51" s="9"/>
      <c r="C51" s="98"/>
      <c r="D51" s="98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9"/>
      <c r="B52" s="9"/>
      <c r="C52" s="98"/>
      <c r="D52" s="98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9"/>
      <c r="B53" s="9"/>
      <c r="C53" s="98"/>
      <c r="D53" s="98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9"/>
      <c r="B54" s="9"/>
      <c r="C54" s="98"/>
      <c r="D54" s="98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9"/>
      <c r="B55" s="9"/>
      <c r="C55" s="98"/>
      <c r="D55" s="98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9"/>
      <c r="B56" s="9"/>
      <c r="C56" s="98"/>
      <c r="D56" s="98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9"/>
      <c r="B57" s="9"/>
      <c r="C57" s="98"/>
      <c r="D57" s="98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9"/>
      <c r="B58" s="9"/>
      <c r="C58" s="98"/>
      <c r="D58" s="98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9"/>
      <c r="B59" s="9"/>
      <c r="C59" s="98"/>
      <c r="D59" s="98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9"/>
      <c r="B60" s="9"/>
      <c r="C60" s="98"/>
      <c r="D60" s="98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9"/>
      <c r="B61" s="9"/>
      <c r="C61" s="98"/>
      <c r="D61" s="98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9"/>
      <c r="B62" s="9"/>
      <c r="C62" s="98"/>
      <c r="D62" s="98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9"/>
      <c r="B63" s="9"/>
      <c r="C63" s="98"/>
      <c r="D63" s="98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9"/>
      <c r="B64" s="9"/>
      <c r="C64" s="98"/>
      <c r="D64" s="98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9"/>
      <c r="B65" s="9"/>
      <c r="C65" s="98"/>
      <c r="D65" s="98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9"/>
      <c r="B66" s="9"/>
      <c r="C66" s="98"/>
      <c r="D66" s="98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9"/>
      <c r="B67" s="9"/>
      <c r="C67" s="98"/>
      <c r="D67" s="98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9"/>
      <c r="B68" s="9"/>
      <c r="C68" s="98"/>
      <c r="D68" s="98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9"/>
      <c r="B69" s="9"/>
      <c r="C69" s="98"/>
      <c r="D69" s="98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9"/>
      <c r="B70" s="9"/>
      <c r="C70" s="98"/>
      <c r="D70" s="98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9"/>
      <c r="B71" s="9"/>
      <c r="C71" s="98"/>
      <c r="D71" s="98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9"/>
      <c r="B72" s="9"/>
      <c r="C72" s="98"/>
      <c r="D72" s="98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9"/>
      <c r="B73" s="9"/>
      <c r="C73" s="98"/>
      <c r="D73" s="98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9"/>
      <c r="B74" s="9"/>
      <c r="C74" s="98"/>
      <c r="D74" s="98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9"/>
      <c r="B75" s="9"/>
      <c r="C75" s="98"/>
      <c r="D75" s="98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9"/>
      <c r="B76" s="9"/>
      <c r="C76" s="98"/>
      <c r="D76" s="98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9"/>
      <c r="B77" s="9"/>
      <c r="C77" s="98"/>
      <c r="D77" s="98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9"/>
      <c r="B78" s="9"/>
      <c r="C78" s="98"/>
      <c r="D78" s="98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9"/>
      <c r="B79" s="9"/>
      <c r="C79" s="98"/>
      <c r="D79" s="98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9"/>
      <c r="B80" s="9"/>
      <c r="C80" s="98"/>
      <c r="D80" s="98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9"/>
      <c r="B81" s="9"/>
      <c r="C81" s="98"/>
      <c r="D81" s="98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9"/>
      <c r="B82" s="9"/>
      <c r="C82" s="98"/>
      <c r="D82" s="98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9"/>
      <c r="B83" s="9"/>
      <c r="C83" s="98"/>
      <c r="D83" s="98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9"/>
      <c r="B84" s="9"/>
      <c r="C84" s="98"/>
      <c r="D84" s="98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9"/>
      <c r="B85" s="9"/>
      <c r="C85" s="98"/>
      <c r="D85" s="98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9"/>
      <c r="B86" s="9"/>
      <c r="C86" s="98"/>
      <c r="D86" s="98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9"/>
      <c r="B87" s="9"/>
      <c r="C87" s="98"/>
      <c r="D87" s="98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9"/>
      <c r="B88" s="9"/>
      <c r="C88" s="98"/>
      <c r="D88" s="98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9"/>
      <c r="B89" s="9"/>
      <c r="C89" s="98"/>
      <c r="D89" s="98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9"/>
      <c r="B90" s="9"/>
      <c r="C90" s="98"/>
      <c r="D90" s="98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9"/>
      <c r="B91" s="9"/>
      <c r="C91" s="98"/>
      <c r="D91" s="98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9"/>
      <c r="B92" s="9"/>
      <c r="C92" s="98"/>
      <c r="D92" s="98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9"/>
      <c r="B93" s="9"/>
      <c r="C93" s="98"/>
      <c r="D93" s="98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9"/>
      <c r="B94" s="9"/>
      <c r="C94" s="98"/>
      <c r="D94" s="98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9"/>
      <c r="B95" s="9"/>
      <c r="C95" s="98"/>
      <c r="D95" s="98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9"/>
      <c r="B96" s="9"/>
      <c r="C96" s="98"/>
      <c r="D96" s="98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9"/>
      <c r="B97" s="9"/>
      <c r="C97" s="98"/>
      <c r="D97" s="98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9"/>
      <c r="B98" s="9"/>
      <c r="C98" s="98"/>
      <c r="D98" s="98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9"/>
      <c r="B99" s="9"/>
      <c r="C99" s="98"/>
      <c r="D99" s="98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9"/>
      <c r="B100" s="9"/>
      <c r="C100" s="98"/>
      <c r="D100" s="98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9"/>
      <c r="B101" s="9"/>
      <c r="C101" s="98"/>
      <c r="D101" s="98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9"/>
      <c r="B102" s="9"/>
      <c r="C102" s="98"/>
      <c r="D102" s="98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9"/>
      <c r="B103" s="9"/>
      <c r="C103" s="98"/>
      <c r="D103" s="98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9"/>
      <c r="B104" s="9"/>
      <c r="C104" s="98"/>
      <c r="D104" s="98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9"/>
      <c r="B105" s="9"/>
      <c r="C105" s="98"/>
      <c r="D105" s="98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9"/>
      <c r="B106" s="9"/>
      <c r="C106" s="98"/>
      <c r="D106" s="98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9"/>
      <c r="B107" s="9"/>
      <c r="C107" s="98"/>
      <c r="D107" s="98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9"/>
      <c r="B108" s="9"/>
      <c r="C108" s="98"/>
      <c r="D108" s="98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9"/>
      <c r="B109" s="9"/>
      <c r="C109" s="98"/>
      <c r="D109" s="98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9"/>
      <c r="B110" s="9"/>
      <c r="C110" s="98"/>
      <c r="D110" s="98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9"/>
      <c r="B111" s="9"/>
      <c r="C111" s="98"/>
      <c r="D111" s="98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9"/>
      <c r="B112" s="9"/>
      <c r="C112" s="98"/>
      <c r="D112" s="98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9"/>
      <c r="B113" s="9"/>
      <c r="C113" s="98"/>
      <c r="D113" s="98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9"/>
      <c r="B114" s="9"/>
      <c r="C114" s="98"/>
      <c r="D114" s="98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9"/>
      <c r="B115" s="9"/>
      <c r="C115" s="98"/>
      <c r="D115" s="98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9"/>
      <c r="B116" s="9"/>
      <c r="C116" s="98"/>
      <c r="D116" s="98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9"/>
      <c r="B117" s="9"/>
      <c r="C117" s="98"/>
      <c r="D117" s="98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9"/>
      <c r="B118" s="9"/>
      <c r="C118" s="98"/>
      <c r="D118" s="98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9"/>
      <c r="B119" s="9"/>
      <c r="C119" s="98"/>
      <c r="D119" s="98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9"/>
      <c r="B120" s="9"/>
      <c r="C120" s="98"/>
      <c r="D120" s="98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9"/>
      <c r="B121" s="9"/>
      <c r="C121" s="98"/>
      <c r="D121" s="98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9"/>
      <c r="B122" s="9"/>
      <c r="C122" s="98"/>
      <c r="D122" s="98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9"/>
      <c r="B123" s="9"/>
      <c r="C123" s="98"/>
      <c r="D123" s="98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9"/>
      <c r="B124" s="9"/>
      <c r="C124" s="98"/>
      <c r="D124" s="98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9"/>
      <c r="B125" s="9"/>
      <c r="C125" s="98"/>
      <c r="D125" s="98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9"/>
      <c r="B126" s="9"/>
      <c r="C126" s="98"/>
      <c r="D126" s="98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9"/>
      <c r="B127" s="9"/>
      <c r="C127" s="98"/>
      <c r="D127" s="98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9"/>
      <c r="B128" s="9"/>
      <c r="C128" s="98"/>
      <c r="D128" s="98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9"/>
      <c r="B129" s="9"/>
      <c r="C129" s="98"/>
      <c r="D129" s="98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9"/>
      <c r="B130" s="9"/>
      <c r="C130" s="98"/>
      <c r="D130" s="98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9"/>
      <c r="B131" s="9"/>
      <c r="C131" s="98"/>
      <c r="D131" s="98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9"/>
      <c r="B132" s="9"/>
      <c r="C132" s="98"/>
      <c r="D132" s="98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9"/>
      <c r="B133" s="9"/>
      <c r="C133" s="98"/>
      <c r="D133" s="98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9"/>
      <c r="B134" s="9"/>
      <c r="C134" s="98"/>
      <c r="D134" s="98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9"/>
      <c r="B135" s="9"/>
      <c r="C135" s="98"/>
      <c r="D135" s="98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9"/>
      <c r="B136" s="9"/>
      <c r="C136" s="98"/>
      <c r="D136" s="98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9"/>
      <c r="B137" s="9"/>
      <c r="C137" s="98"/>
      <c r="D137" s="98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9"/>
      <c r="B138" s="9"/>
      <c r="C138" s="98"/>
      <c r="D138" s="98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9"/>
      <c r="B139" s="9"/>
      <c r="C139" s="98"/>
      <c r="D139" s="98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9"/>
      <c r="B140" s="9"/>
      <c r="C140" s="98"/>
      <c r="D140" s="98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9"/>
      <c r="B141" s="9"/>
      <c r="C141" s="98"/>
      <c r="D141" s="98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9"/>
      <c r="B142" s="9"/>
      <c r="C142" s="98"/>
      <c r="D142" s="98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9"/>
      <c r="B143" s="9"/>
      <c r="C143" s="98"/>
      <c r="D143" s="98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9"/>
      <c r="B144" s="9"/>
      <c r="C144" s="98"/>
      <c r="D144" s="98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9"/>
      <c r="B145" s="9"/>
      <c r="C145" s="98"/>
      <c r="D145" s="98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9"/>
      <c r="B146" s="9"/>
      <c r="C146" s="98"/>
      <c r="D146" s="98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9"/>
      <c r="B147" s="9"/>
      <c r="C147" s="98"/>
      <c r="D147" s="98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9"/>
      <c r="B148" s="9"/>
      <c r="C148" s="98"/>
      <c r="D148" s="98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9"/>
      <c r="B149" s="9"/>
      <c r="C149" s="98"/>
      <c r="D149" s="98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9"/>
      <c r="B150" s="9"/>
      <c r="C150" s="98"/>
      <c r="D150" s="98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9"/>
      <c r="B151" s="9"/>
      <c r="C151" s="98"/>
      <c r="D151" s="98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9"/>
      <c r="B152" s="9"/>
      <c r="C152" s="98"/>
      <c r="D152" s="98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9"/>
      <c r="B153" s="9"/>
      <c r="C153" s="98"/>
      <c r="D153" s="98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9"/>
      <c r="B154" s="9"/>
      <c r="C154" s="98"/>
      <c r="D154" s="98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9"/>
      <c r="B155" s="9"/>
      <c r="C155" s="98"/>
      <c r="D155" s="98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9"/>
      <c r="B156" s="9"/>
      <c r="C156" s="98"/>
      <c r="D156" s="98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9"/>
      <c r="B157" s="9"/>
      <c r="C157" s="98"/>
      <c r="D157" s="98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9"/>
      <c r="B158" s="9"/>
      <c r="C158" s="98"/>
      <c r="D158" s="98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9"/>
      <c r="B159" s="9"/>
      <c r="C159" s="98"/>
      <c r="D159" s="98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9"/>
      <c r="B160" s="9"/>
      <c r="C160" s="98"/>
      <c r="D160" s="98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9"/>
      <c r="B161" s="9"/>
      <c r="C161" s="98"/>
      <c r="D161" s="98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9"/>
      <c r="B162" s="9"/>
      <c r="C162" s="98"/>
      <c r="D162" s="98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9"/>
      <c r="B163" s="9"/>
      <c r="C163" s="98"/>
      <c r="D163" s="98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9"/>
      <c r="B164" s="9"/>
      <c r="C164" s="98"/>
      <c r="D164" s="98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9"/>
      <c r="B165" s="9"/>
      <c r="C165" s="98"/>
      <c r="D165" s="98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9"/>
      <c r="B166" s="9"/>
      <c r="C166" s="98"/>
      <c r="D166" s="98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9"/>
      <c r="B167" s="9"/>
      <c r="C167" s="98"/>
      <c r="D167" s="98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9"/>
      <c r="B168" s="9"/>
      <c r="C168" s="98"/>
      <c r="D168" s="98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9"/>
      <c r="B169" s="9"/>
      <c r="C169" s="98"/>
      <c r="D169" s="98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9"/>
      <c r="B170" s="9"/>
      <c r="C170" s="98"/>
      <c r="D170" s="98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9"/>
      <c r="B171" s="9"/>
      <c r="C171" s="98"/>
      <c r="D171" s="98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9"/>
      <c r="B172" s="9"/>
      <c r="C172" s="98"/>
      <c r="D172" s="98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9"/>
      <c r="B173" s="9"/>
      <c r="C173" s="98"/>
      <c r="D173" s="98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9"/>
      <c r="B174" s="9"/>
      <c r="C174" s="98"/>
      <c r="D174" s="98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9"/>
      <c r="B175" s="9"/>
      <c r="C175" s="98"/>
      <c r="D175" s="98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9"/>
      <c r="B176" s="9"/>
      <c r="C176" s="98"/>
      <c r="D176" s="98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9"/>
      <c r="B177" s="9"/>
      <c r="C177" s="98"/>
      <c r="D177" s="98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9"/>
      <c r="B178" s="9"/>
      <c r="C178" s="98"/>
      <c r="D178" s="98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9"/>
      <c r="B179" s="9"/>
      <c r="C179" s="98"/>
      <c r="D179" s="98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9"/>
      <c r="B180" s="9"/>
      <c r="C180" s="98"/>
      <c r="D180" s="98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9"/>
      <c r="B181" s="9"/>
      <c r="C181" s="98"/>
      <c r="D181" s="98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9"/>
      <c r="B182" s="9"/>
      <c r="C182" s="98"/>
      <c r="D182" s="98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9"/>
      <c r="B183" s="9"/>
      <c r="C183" s="98"/>
      <c r="D183" s="98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9"/>
      <c r="B184" s="9"/>
      <c r="C184" s="98"/>
      <c r="D184" s="98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9"/>
      <c r="B185" s="9"/>
      <c r="C185" s="98"/>
      <c r="D185" s="98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9"/>
      <c r="B186" s="9"/>
      <c r="C186" s="98"/>
      <c r="D186" s="98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9"/>
      <c r="B187" s="9"/>
      <c r="C187" s="98"/>
      <c r="D187" s="98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9"/>
      <c r="B188" s="9"/>
      <c r="C188" s="98"/>
      <c r="D188" s="98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9"/>
      <c r="B189" s="9"/>
      <c r="C189" s="98"/>
      <c r="D189" s="98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9"/>
      <c r="B190" s="9"/>
      <c r="C190" s="98"/>
      <c r="D190" s="98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9"/>
      <c r="B191" s="9"/>
      <c r="C191" s="98"/>
      <c r="D191" s="98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9"/>
      <c r="B192" s="9"/>
      <c r="C192" s="98"/>
      <c r="D192" s="98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9"/>
      <c r="B193" s="9"/>
      <c r="C193" s="98"/>
      <c r="D193" s="98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9"/>
      <c r="B194" s="9"/>
      <c r="C194" s="98"/>
      <c r="D194" s="98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9"/>
      <c r="B195" s="9"/>
      <c r="C195" s="98"/>
      <c r="D195" s="98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9"/>
      <c r="B196" s="9"/>
      <c r="C196" s="98"/>
      <c r="D196" s="98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9"/>
      <c r="B197" s="9"/>
      <c r="C197" s="98"/>
      <c r="D197" s="98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9"/>
      <c r="B198" s="9"/>
      <c r="C198" s="98"/>
      <c r="D198" s="98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9"/>
      <c r="B199" s="9"/>
      <c r="C199" s="98"/>
      <c r="D199" s="98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9"/>
      <c r="B200" s="9"/>
      <c r="C200" s="98"/>
      <c r="D200" s="98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9"/>
      <c r="B201" s="9"/>
      <c r="C201" s="98"/>
      <c r="D201" s="98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9"/>
      <c r="B202" s="9"/>
      <c r="C202" s="98"/>
      <c r="D202" s="98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9"/>
      <c r="B203" s="9"/>
      <c r="C203" s="98"/>
      <c r="D203" s="98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9"/>
      <c r="B204" s="9"/>
      <c r="C204" s="98"/>
      <c r="D204" s="98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9"/>
      <c r="B205" s="9"/>
      <c r="C205" s="98"/>
      <c r="D205" s="98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9"/>
      <c r="B206" s="9"/>
      <c r="C206" s="98"/>
      <c r="D206" s="98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9"/>
      <c r="B207" s="9"/>
      <c r="C207" s="98"/>
      <c r="D207" s="98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9"/>
      <c r="B208" s="9"/>
      <c r="C208" s="98"/>
      <c r="D208" s="98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9"/>
      <c r="B209" s="9"/>
      <c r="C209" s="98"/>
      <c r="D209" s="98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9"/>
      <c r="B210" s="9"/>
      <c r="C210" s="98"/>
      <c r="D210" s="98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9"/>
      <c r="B211" s="9"/>
      <c r="C211" s="98"/>
      <c r="D211" s="98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9"/>
      <c r="B212" s="9"/>
      <c r="C212" s="98"/>
      <c r="D212" s="98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9"/>
      <c r="B213" s="9"/>
      <c r="C213" s="98"/>
      <c r="D213" s="98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9"/>
      <c r="B214" s="9"/>
      <c r="C214" s="98"/>
      <c r="D214" s="98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9"/>
      <c r="B215" s="9"/>
      <c r="C215" s="98"/>
      <c r="D215" s="98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9"/>
      <c r="B216" s="9"/>
      <c r="C216" s="98"/>
      <c r="D216" s="98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9"/>
      <c r="B217" s="9"/>
      <c r="C217" s="98"/>
      <c r="D217" s="98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9"/>
      <c r="B218" s="9"/>
      <c r="C218" s="98"/>
      <c r="D218" s="98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9"/>
      <c r="B219" s="9"/>
      <c r="C219" s="98"/>
      <c r="D219" s="98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9"/>
      <c r="B220" s="9"/>
      <c r="C220" s="98"/>
      <c r="D220" s="98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9"/>
      <c r="B221" s="9"/>
      <c r="C221" s="98"/>
      <c r="D221" s="98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9"/>
      <c r="B222" s="9"/>
      <c r="C222" s="98"/>
      <c r="D222" s="98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9"/>
      <c r="B223" s="9"/>
      <c r="C223" s="98"/>
      <c r="D223" s="98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9"/>
      <c r="B224" s="9"/>
      <c r="C224" s="98"/>
      <c r="D224" s="98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9"/>
      <c r="B225" s="9"/>
      <c r="C225" s="98"/>
      <c r="D225" s="98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9"/>
      <c r="B226" s="9"/>
      <c r="C226" s="98"/>
      <c r="D226" s="98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9"/>
      <c r="B227" s="9"/>
      <c r="C227" s="98"/>
      <c r="D227" s="98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9"/>
      <c r="B228" s="9"/>
      <c r="C228" s="98"/>
      <c r="D228" s="98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9"/>
      <c r="B229" s="9"/>
      <c r="C229" s="98"/>
      <c r="D229" s="98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9"/>
      <c r="B230" s="9"/>
      <c r="C230" s="98"/>
      <c r="D230" s="98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9"/>
      <c r="B231" s="9"/>
      <c r="C231" s="98"/>
      <c r="D231" s="98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9"/>
      <c r="B232" s="9"/>
      <c r="C232" s="98"/>
      <c r="D232" s="98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9"/>
      <c r="B233" s="9"/>
      <c r="C233" s="98"/>
      <c r="D233" s="98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9"/>
      <c r="B234" s="9"/>
      <c r="C234" s="98"/>
      <c r="D234" s="98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9"/>
      <c r="B235" s="9"/>
      <c r="C235" s="98"/>
      <c r="D235" s="98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9"/>
      <c r="B236" s="9"/>
      <c r="C236" s="98"/>
      <c r="D236" s="98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9"/>
      <c r="B237" s="9"/>
      <c r="C237" s="98"/>
      <c r="D237" s="98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9"/>
      <c r="B238" s="9"/>
      <c r="C238" s="98"/>
      <c r="D238" s="98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9"/>
      <c r="B239" s="9"/>
      <c r="C239" s="98"/>
      <c r="D239" s="98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9"/>
      <c r="B240" s="9"/>
      <c r="C240" s="98"/>
      <c r="D240" s="98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9"/>
      <c r="B241" s="9"/>
      <c r="C241" s="98"/>
      <c r="D241" s="98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9"/>
      <c r="B242" s="9"/>
      <c r="C242" s="98"/>
      <c r="D242" s="98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9"/>
      <c r="B243" s="9"/>
      <c r="C243" s="98"/>
      <c r="D243" s="98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9"/>
      <c r="B244" s="9"/>
      <c r="C244" s="98"/>
      <c r="D244" s="98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9"/>
      <c r="B245" s="9"/>
      <c r="C245" s="98"/>
      <c r="D245" s="98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9"/>
      <c r="B246" s="9"/>
      <c r="C246" s="98"/>
      <c r="D246" s="98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9"/>
      <c r="B247" s="9"/>
      <c r="C247" s="98"/>
      <c r="D247" s="98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9"/>
      <c r="B248" s="9"/>
      <c r="C248" s="98"/>
      <c r="D248" s="98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9"/>
      <c r="B249" s="9"/>
      <c r="C249" s="98"/>
      <c r="D249" s="98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9"/>
      <c r="B250" s="9"/>
      <c r="C250" s="98"/>
      <c r="D250" s="98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9"/>
      <c r="B251" s="9"/>
      <c r="C251" s="98"/>
      <c r="D251" s="98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9"/>
      <c r="B252" s="9"/>
      <c r="C252" s="98"/>
      <c r="D252" s="98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9"/>
      <c r="B253" s="9"/>
      <c r="C253" s="98"/>
      <c r="D253" s="98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9"/>
      <c r="B254" s="9"/>
      <c r="C254" s="98"/>
      <c r="D254" s="98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9"/>
      <c r="B255" s="9"/>
      <c r="C255" s="98"/>
      <c r="D255" s="98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9"/>
      <c r="B256" s="9"/>
      <c r="C256" s="98"/>
      <c r="D256" s="98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9"/>
      <c r="B257" s="9"/>
      <c r="C257" s="98"/>
      <c r="D257" s="98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9"/>
      <c r="B258" s="9"/>
      <c r="C258" s="98"/>
      <c r="D258" s="98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9"/>
      <c r="B259" s="9"/>
      <c r="C259" s="98"/>
      <c r="D259" s="98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9"/>
      <c r="B260" s="9"/>
      <c r="C260" s="98"/>
      <c r="D260" s="98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9"/>
      <c r="B261" s="9"/>
      <c r="C261" s="98"/>
      <c r="D261" s="98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9"/>
      <c r="B262" s="9"/>
      <c r="C262" s="98"/>
      <c r="D262" s="98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9"/>
      <c r="B263" s="9"/>
      <c r="C263" s="98"/>
      <c r="D263" s="98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9"/>
      <c r="B264" s="9"/>
      <c r="C264" s="98"/>
      <c r="D264" s="98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9"/>
      <c r="B265" s="9"/>
      <c r="C265" s="98"/>
      <c r="D265" s="98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9"/>
      <c r="B266" s="9"/>
      <c r="C266" s="98"/>
      <c r="D266" s="98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9"/>
      <c r="B267" s="9"/>
      <c r="C267" s="98"/>
      <c r="D267" s="98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9"/>
      <c r="B268" s="9"/>
      <c r="C268" s="98"/>
      <c r="D268" s="98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9"/>
      <c r="B269" s="9"/>
      <c r="C269" s="98"/>
      <c r="D269" s="98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9"/>
      <c r="B270" s="9"/>
      <c r="C270" s="98"/>
      <c r="D270" s="98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9"/>
      <c r="B271" s="9"/>
      <c r="C271" s="98"/>
      <c r="D271" s="98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9"/>
      <c r="B272" s="9"/>
      <c r="C272" s="98"/>
      <c r="D272" s="98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9"/>
      <c r="B273" s="9"/>
      <c r="C273" s="98"/>
      <c r="D273" s="98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9"/>
      <c r="B274" s="9"/>
      <c r="C274" s="98"/>
      <c r="D274" s="98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9"/>
      <c r="B275" s="9"/>
      <c r="C275" s="98"/>
      <c r="D275" s="98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9"/>
      <c r="B276" s="9"/>
      <c r="C276" s="98"/>
      <c r="D276" s="98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9"/>
      <c r="B277" s="9"/>
      <c r="C277" s="98"/>
      <c r="D277" s="98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9"/>
      <c r="B278" s="9"/>
      <c r="C278" s="98"/>
      <c r="D278" s="98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9"/>
      <c r="B279" s="9"/>
      <c r="C279" s="98"/>
      <c r="D279" s="98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9"/>
      <c r="B280" s="9"/>
      <c r="C280" s="98"/>
      <c r="D280" s="98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9"/>
      <c r="B281" s="9"/>
      <c r="C281" s="98"/>
      <c r="D281" s="98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9"/>
      <c r="B282" s="9"/>
      <c r="C282" s="98"/>
      <c r="D282" s="98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9"/>
      <c r="B283" s="9"/>
      <c r="C283" s="98"/>
      <c r="D283" s="98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9"/>
      <c r="B284" s="9"/>
      <c r="C284" s="98"/>
      <c r="D284" s="98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9"/>
      <c r="B285" s="9"/>
      <c r="C285" s="98"/>
      <c r="D285" s="98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9"/>
      <c r="B286" s="9"/>
      <c r="C286" s="98"/>
      <c r="D286" s="98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9"/>
      <c r="B287" s="9"/>
      <c r="C287" s="98"/>
      <c r="D287" s="98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9"/>
      <c r="B288" s="9"/>
      <c r="C288" s="98"/>
      <c r="D288" s="98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9"/>
      <c r="B289" s="9"/>
      <c r="C289" s="98"/>
      <c r="D289" s="98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9"/>
      <c r="B290" s="9"/>
      <c r="C290" s="98"/>
      <c r="D290" s="98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9"/>
      <c r="B291" s="9"/>
      <c r="C291" s="98"/>
      <c r="D291" s="98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9"/>
      <c r="B292" s="9"/>
      <c r="C292" s="98"/>
      <c r="D292" s="98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9"/>
      <c r="B293" s="9"/>
      <c r="C293" s="98"/>
      <c r="D293" s="98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9"/>
      <c r="B294" s="9"/>
      <c r="C294" s="98"/>
      <c r="D294" s="98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9"/>
      <c r="B295" s="9"/>
      <c r="C295" s="98"/>
      <c r="D295" s="98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9"/>
      <c r="B296" s="9"/>
      <c r="C296" s="98"/>
      <c r="D296" s="98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9"/>
      <c r="B297" s="9"/>
      <c r="C297" s="98"/>
      <c r="D297" s="98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9"/>
      <c r="B298" s="9"/>
      <c r="C298" s="98"/>
      <c r="D298" s="98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9"/>
      <c r="B299" s="9"/>
      <c r="C299" s="98"/>
      <c r="D299" s="98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9"/>
      <c r="B300" s="9"/>
      <c r="C300" s="98"/>
      <c r="D300" s="98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9"/>
      <c r="B301" s="9"/>
      <c r="C301" s="98"/>
      <c r="D301" s="98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9"/>
      <c r="B302" s="9"/>
      <c r="C302" s="98"/>
      <c r="D302" s="98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9"/>
      <c r="B303" s="9"/>
      <c r="C303" s="98"/>
      <c r="D303" s="98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9"/>
      <c r="B304" s="9"/>
      <c r="C304" s="98"/>
      <c r="D304" s="98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9"/>
      <c r="B305" s="9"/>
      <c r="C305" s="98"/>
      <c r="D305" s="98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9"/>
      <c r="B306" s="9"/>
      <c r="C306" s="98"/>
      <c r="D306" s="98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9"/>
      <c r="B307" s="9"/>
      <c r="C307" s="98"/>
      <c r="D307" s="98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9"/>
      <c r="B308" s="9"/>
      <c r="C308" s="98"/>
      <c r="D308" s="98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9"/>
      <c r="B309" s="9"/>
      <c r="C309" s="98"/>
      <c r="D309" s="98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9"/>
      <c r="B310" s="9"/>
      <c r="C310" s="98"/>
      <c r="D310" s="98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9"/>
      <c r="B311" s="9"/>
      <c r="C311" s="98"/>
      <c r="D311" s="98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9"/>
      <c r="B312" s="9"/>
      <c r="C312" s="98"/>
      <c r="D312" s="98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9"/>
      <c r="B313" s="9"/>
      <c r="C313" s="98"/>
      <c r="D313" s="98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9"/>
      <c r="B314" s="9"/>
      <c r="C314" s="98"/>
      <c r="D314" s="98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9"/>
      <c r="B315" s="9"/>
      <c r="C315" s="98"/>
      <c r="D315" s="98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9"/>
      <c r="B316" s="9"/>
      <c r="C316" s="98"/>
      <c r="D316" s="98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9"/>
      <c r="B317" s="9"/>
      <c r="C317" s="98"/>
      <c r="D317" s="98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9"/>
      <c r="B318" s="9"/>
      <c r="C318" s="98"/>
      <c r="D318" s="98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9"/>
      <c r="B319" s="9"/>
      <c r="C319" s="98"/>
      <c r="D319" s="98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9"/>
      <c r="B320" s="9"/>
      <c r="C320" s="98"/>
      <c r="D320" s="98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9"/>
      <c r="B321" s="9"/>
      <c r="C321" s="98"/>
      <c r="D321" s="98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9"/>
      <c r="B322" s="9"/>
      <c r="C322" s="98"/>
      <c r="D322" s="98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9"/>
      <c r="B323" s="9"/>
      <c r="C323" s="98"/>
      <c r="D323" s="98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9"/>
      <c r="B324" s="9"/>
      <c r="C324" s="98"/>
      <c r="D324" s="98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9"/>
      <c r="B325" s="9"/>
      <c r="C325" s="98"/>
      <c r="D325" s="98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9"/>
      <c r="B326" s="9"/>
      <c r="C326" s="98"/>
      <c r="D326" s="98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9"/>
      <c r="B327" s="9"/>
      <c r="C327" s="98"/>
      <c r="D327" s="98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9"/>
      <c r="B328" s="9"/>
      <c r="C328" s="98"/>
      <c r="D328" s="98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9"/>
      <c r="B329" s="9"/>
      <c r="C329" s="98"/>
      <c r="D329" s="98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9"/>
      <c r="B330" s="9"/>
      <c r="C330" s="98"/>
      <c r="D330" s="98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9"/>
      <c r="B331" s="9"/>
      <c r="C331" s="98"/>
      <c r="D331" s="98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9"/>
      <c r="B332" s="9"/>
      <c r="C332" s="98"/>
      <c r="D332" s="98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9"/>
      <c r="B333" s="9"/>
      <c r="C333" s="98"/>
      <c r="D333" s="98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9"/>
      <c r="B334" s="9"/>
      <c r="C334" s="98"/>
      <c r="D334" s="98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9"/>
      <c r="B335" s="9"/>
      <c r="C335" s="98"/>
      <c r="D335" s="98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9"/>
      <c r="B336" s="9"/>
      <c r="C336" s="98"/>
      <c r="D336" s="98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9"/>
      <c r="B337" s="9"/>
      <c r="C337" s="98"/>
      <c r="D337" s="98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9"/>
      <c r="B338" s="9"/>
      <c r="C338" s="98"/>
      <c r="D338" s="98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9"/>
      <c r="B339" s="9"/>
      <c r="C339" s="98"/>
      <c r="D339" s="98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9"/>
      <c r="B340" s="9"/>
      <c r="C340" s="98"/>
      <c r="D340" s="98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9"/>
      <c r="B341" s="9"/>
      <c r="C341" s="98"/>
      <c r="D341" s="98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9"/>
      <c r="B342" s="9"/>
      <c r="C342" s="98"/>
      <c r="D342" s="98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9"/>
      <c r="B343" s="9"/>
      <c r="C343" s="98"/>
      <c r="D343" s="98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9"/>
      <c r="B344" s="9"/>
      <c r="C344" s="98"/>
      <c r="D344" s="98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9"/>
      <c r="B345" s="9"/>
      <c r="C345" s="98"/>
      <c r="D345" s="98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9"/>
      <c r="B346" s="9"/>
      <c r="C346" s="98"/>
      <c r="D346" s="98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9"/>
      <c r="B347" s="9"/>
      <c r="C347" s="98"/>
      <c r="D347" s="98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9"/>
      <c r="B348" s="9"/>
      <c r="C348" s="98"/>
      <c r="D348" s="98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9"/>
      <c r="B349" s="9"/>
      <c r="C349" s="98"/>
      <c r="D349" s="98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9"/>
      <c r="B350" s="9"/>
      <c r="C350" s="98"/>
      <c r="D350" s="98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9"/>
      <c r="B351" s="9"/>
      <c r="C351" s="98"/>
      <c r="D351" s="98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9"/>
      <c r="B352" s="9"/>
      <c r="C352" s="98"/>
      <c r="D352" s="98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9"/>
      <c r="B353" s="9"/>
      <c r="C353" s="98"/>
      <c r="D353" s="98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9"/>
      <c r="B354" s="9"/>
      <c r="C354" s="98"/>
      <c r="D354" s="98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9"/>
      <c r="B355" s="9"/>
      <c r="C355" s="98"/>
      <c r="D355" s="98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9"/>
      <c r="B356" s="9"/>
      <c r="C356" s="98"/>
      <c r="D356" s="98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9"/>
      <c r="B357" s="9"/>
      <c r="C357" s="98"/>
      <c r="D357" s="98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9"/>
      <c r="B358" s="9"/>
      <c r="C358" s="98"/>
      <c r="D358" s="98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9"/>
      <c r="B359" s="9"/>
      <c r="C359" s="98"/>
      <c r="D359" s="98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9"/>
      <c r="B360" s="9"/>
      <c r="C360" s="98"/>
      <c r="D360" s="98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9"/>
      <c r="B361" s="9"/>
      <c r="C361" s="98"/>
      <c r="D361" s="98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9"/>
      <c r="B362" s="9"/>
      <c r="C362" s="98"/>
      <c r="D362" s="98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9"/>
      <c r="B363" s="9"/>
      <c r="C363" s="98"/>
      <c r="D363" s="98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9"/>
      <c r="B364" s="9"/>
      <c r="C364" s="98"/>
      <c r="D364" s="98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9"/>
      <c r="B365" s="9"/>
      <c r="C365" s="98"/>
      <c r="D365" s="98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9"/>
      <c r="B366" s="9"/>
      <c r="C366" s="98"/>
      <c r="D366" s="98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9"/>
      <c r="B367" s="9"/>
      <c r="C367" s="98"/>
      <c r="D367" s="98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9"/>
      <c r="B368" s="9"/>
      <c r="C368" s="98"/>
      <c r="D368" s="98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9"/>
      <c r="B369" s="9"/>
      <c r="C369" s="98"/>
      <c r="D369" s="98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9"/>
      <c r="B370" s="9"/>
      <c r="C370" s="98"/>
      <c r="D370" s="98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9"/>
      <c r="B371" s="9"/>
      <c r="C371" s="98"/>
      <c r="D371" s="98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9"/>
      <c r="B372" s="9"/>
      <c r="C372" s="98"/>
      <c r="D372" s="98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9"/>
      <c r="B373" s="9"/>
      <c r="C373" s="98"/>
      <c r="D373" s="98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9"/>
      <c r="B374" s="9"/>
      <c r="C374" s="98"/>
      <c r="D374" s="98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9"/>
      <c r="B375" s="9"/>
      <c r="C375" s="98"/>
      <c r="D375" s="98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9"/>
      <c r="B376" s="9"/>
      <c r="C376" s="98"/>
      <c r="D376" s="98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9"/>
      <c r="B377" s="9"/>
      <c r="C377" s="98"/>
      <c r="D377" s="98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9"/>
      <c r="B378" s="9"/>
      <c r="C378" s="98"/>
      <c r="D378" s="98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9"/>
      <c r="B379" s="9"/>
      <c r="C379" s="98"/>
      <c r="D379" s="98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9"/>
      <c r="B380" s="9"/>
      <c r="C380" s="98"/>
      <c r="D380" s="98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9"/>
      <c r="B381" s="9"/>
      <c r="C381" s="98"/>
      <c r="D381" s="98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9"/>
      <c r="B382" s="9"/>
      <c r="C382" s="98"/>
      <c r="D382" s="98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9"/>
      <c r="B383" s="9"/>
      <c r="C383" s="98"/>
      <c r="D383" s="98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9"/>
      <c r="B384" s="9"/>
      <c r="C384" s="98"/>
      <c r="D384" s="98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9"/>
      <c r="B385" s="9"/>
      <c r="C385" s="98"/>
      <c r="D385" s="98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9"/>
      <c r="B386" s="9"/>
      <c r="C386" s="98"/>
      <c r="D386" s="98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9"/>
      <c r="B387" s="9"/>
      <c r="C387" s="98"/>
      <c r="D387" s="98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9"/>
      <c r="B388" s="9"/>
      <c r="C388" s="98"/>
      <c r="D388" s="98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9"/>
      <c r="B389" s="9"/>
      <c r="C389" s="98"/>
      <c r="D389" s="98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9"/>
      <c r="B390" s="9"/>
      <c r="C390" s="98"/>
      <c r="D390" s="98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9"/>
      <c r="B391" s="9"/>
      <c r="C391" s="98"/>
      <c r="D391" s="98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9"/>
      <c r="B392" s="9"/>
      <c r="C392" s="98"/>
      <c r="D392" s="98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9"/>
      <c r="B393" s="9"/>
      <c r="C393" s="98"/>
      <c r="D393" s="98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9"/>
      <c r="B394" s="9"/>
      <c r="C394" s="98"/>
      <c r="D394" s="98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9"/>
      <c r="B395" s="9"/>
      <c r="C395" s="98"/>
      <c r="D395" s="98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9"/>
      <c r="B396" s="9"/>
      <c r="C396" s="98"/>
      <c r="D396" s="98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9"/>
      <c r="B397" s="9"/>
      <c r="C397" s="98"/>
      <c r="D397" s="98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9"/>
      <c r="B398" s="9"/>
      <c r="C398" s="98"/>
      <c r="D398" s="98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9"/>
      <c r="B399" s="9"/>
      <c r="C399" s="98"/>
      <c r="D399" s="98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9"/>
      <c r="B400" s="9"/>
      <c r="C400" s="98"/>
      <c r="D400" s="98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9"/>
      <c r="B401" s="9"/>
      <c r="C401" s="98"/>
      <c r="D401" s="98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9"/>
      <c r="B402" s="9"/>
      <c r="C402" s="98"/>
      <c r="D402" s="98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9"/>
      <c r="B403" s="9"/>
      <c r="C403" s="98"/>
      <c r="D403" s="98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9"/>
      <c r="B404" s="9"/>
      <c r="C404" s="98"/>
      <c r="D404" s="98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9"/>
      <c r="B405" s="9"/>
      <c r="C405" s="98"/>
      <c r="D405" s="98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9"/>
      <c r="B406" s="9"/>
      <c r="C406" s="98"/>
      <c r="D406" s="98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9"/>
      <c r="B407" s="9"/>
      <c r="C407" s="98"/>
      <c r="D407" s="98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9"/>
      <c r="B408" s="9"/>
      <c r="C408" s="98"/>
      <c r="D408" s="98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9"/>
      <c r="B409" s="9"/>
      <c r="C409" s="98"/>
      <c r="D409" s="98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9"/>
      <c r="B410" s="9"/>
      <c r="C410" s="98"/>
      <c r="D410" s="98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9"/>
      <c r="B411" s="9"/>
      <c r="C411" s="98"/>
      <c r="D411" s="98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9"/>
      <c r="B412" s="9"/>
      <c r="C412" s="98"/>
      <c r="D412" s="98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9"/>
      <c r="B413" s="9"/>
      <c r="C413" s="98"/>
      <c r="D413" s="98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9"/>
      <c r="B414" s="9"/>
      <c r="C414" s="98"/>
      <c r="D414" s="98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9"/>
      <c r="B415" s="9"/>
      <c r="C415" s="98"/>
      <c r="D415" s="98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9"/>
      <c r="B416" s="9"/>
      <c r="C416" s="98"/>
      <c r="D416" s="98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9"/>
      <c r="B417" s="9"/>
      <c r="C417" s="98"/>
      <c r="D417" s="98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9"/>
      <c r="B418" s="9"/>
      <c r="C418" s="98"/>
      <c r="D418" s="98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9"/>
      <c r="B419" s="9"/>
      <c r="C419" s="98"/>
      <c r="D419" s="98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9"/>
      <c r="B420" s="9"/>
      <c r="C420" s="98"/>
      <c r="D420" s="98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9"/>
      <c r="B421" s="9"/>
      <c r="C421" s="98"/>
      <c r="D421" s="98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9"/>
      <c r="B422" s="9"/>
      <c r="C422" s="98"/>
      <c r="D422" s="98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9"/>
      <c r="B423" s="9"/>
      <c r="C423" s="98"/>
      <c r="D423" s="98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9"/>
      <c r="B424" s="9"/>
      <c r="C424" s="98"/>
      <c r="D424" s="98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9"/>
      <c r="B425" s="9"/>
      <c r="C425" s="98"/>
      <c r="D425" s="98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9"/>
      <c r="B426" s="9"/>
      <c r="C426" s="98"/>
      <c r="D426" s="98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9"/>
      <c r="B427" s="9"/>
      <c r="C427" s="98"/>
      <c r="D427" s="98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9"/>
      <c r="B428" s="9"/>
      <c r="C428" s="98"/>
      <c r="D428" s="98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9"/>
      <c r="B429" s="9"/>
      <c r="C429" s="98"/>
      <c r="D429" s="98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9"/>
      <c r="B430" s="9"/>
      <c r="C430" s="98"/>
      <c r="D430" s="98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9"/>
      <c r="B431" s="9"/>
      <c r="C431" s="98"/>
      <c r="D431" s="98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9"/>
      <c r="B432" s="9"/>
      <c r="C432" s="98"/>
      <c r="D432" s="98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9"/>
      <c r="B433" s="9"/>
      <c r="C433" s="98"/>
      <c r="D433" s="98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9"/>
      <c r="B434" s="9"/>
      <c r="C434" s="98"/>
      <c r="D434" s="98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9"/>
      <c r="B435" s="9"/>
      <c r="C435" s="98"/>
      <c r="D435" s="98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9"/>
      <c r="B436" s="9"/>
      <c r="C436" s="98"/>
      <c r="D436" s="98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9"/>
      <c r="B437" s="9"/>
      <c r="C437" s="98"/>
      <c r="D437" s="98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9"/>
      <c r="B438" s="9"/>
      <c r="C438" s="98"/>
      <c r="D438" s="98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9"/>
      <c r="B439" s="9"/>
      <c r="C439" s="98"/>
      <c r="D439" s="98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9"/>
      <c r="B440" s="9"/>
      <c r="C440" s="98"/>
      <c r="D440" s="98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9"/>
      <c r="B441" s="9"/>
      <c r="C441" s="98"/>
      <c r="D441" s="98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9"/>
      <c r="B442" s="9"/>
      <c r="C442" s="98"/>
      <c r="D442" s="98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9"/>
      <c r="B443" s="9"/>
      <c r="C443" s="98"/>
      <c r="D443" s="98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9"/>
      <c r="B444" s="9"/>
      <c r="C444" s="98"/>
      <c r="D444" s="98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9"/>
      <c r="B445" s="9"/>
      <c r="C445" s="98"/>
      <c r="D445" s="98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9"/>
      <c r="B446" s="9"/>
      <c r="C446" s="98"/>
      <c r="D446" s="98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9"/>
      <c r="B447" s="9"/>
      <c r="C447" s="98"/>
      <c r="D447" s="98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9"/>
      <c r="B448" s="9"/>
      <c r="C448" s="98"/>
      <c r="D448" s="98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9"/>
      <c r="B449" s="9"/>
      <c r="C449" s="98"/>
      <c r="D449" s="98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9"/>
      <c r="B450" s="9"/>
      <c r="C450" s="98"/>
      <c r="D450" s="98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9"/>
      <c r="B451" s="9"/>
      <c r="C451" s="98"/>
      <c r="D451" s="98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9"/>
      <c r="B452" s="9"/>
      <c r="C452" s="98"/>
      <c r="D452" s="98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9"/>
      <c r="B453" s="9"/>
      <c r="C453" s="98"/>
      <c r="D453" s="98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9"/>
      <c r="B454" s="9"/>
      <c r="C454" s="98"/>
      <c r="D454" s="98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9"/>
      <c r="B455" s="9"/>
      <c r="C455" s="98"/>
      <c r="D455" s="98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9"/>
      <c r="B456" s="9"/>
      <c r="C456" s="98"/>
      <c r="D456" s="98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9"/>
      <c r="B457" s="9"/>
      <c r="C457" s="98"/>
      <c r="D457" s="98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9"/>
      <c r="B458" s="9"/>
      <c r="C458" s="98"/>
      <c r="D458" s="98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9"/>
      <c r="B459" s="9"/>
      <c r="C459" s="98"/>
      <c r="D459" s="98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9"/>
      <c r="B460" s="9"/>
      <c r="C460" s="98"/>
      <c r="D460" s="98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9"/>
      <c r="B461" s="9"/>
      <c r="C461" s="98"/>
      <c r="D461" s="98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9"/>
      <c r="B462" s="9"/>
      <c r="C462" s="98"/>
      <c r="D462" s="98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9"/>
      <c r="B463" s="9"/>
      <c r="C463" s="98"/>
      <c r="D463" s="98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9"/>
      <c r="B464" s="9"/>
      <c r="C464" s="98"/>
      <c r="D464" s="98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9"/>
      <c r="B465" s="9"/>
      <c r="C465" s="98"/>
      <c r="D465" s="98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9"/>
      <c r="B466" s="9"/>
      <c r="C466" s="98"/>
      <c r="D466" s="98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9"/>
      <c r="B467" s="9"/>
      <c r="C467" s="98"/>
      <c r="D467" s="98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9"/>
      <c r="B468" s="9"/>
      <c r="C468" s="98"/>
      <c r="D468" s="98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9"/>
      <c r="B469" s="9"/>
      <c r="C469" s="98"/>
      <c r="D469" s="98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9"/>
      <c r="B470" s="9"/>
      <c r="C470" s="98"/>
      <c r="D470" s="98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9"/>
      <c r="B471" s="9"/>
      <c r="C471" s="98"/>
      <c r="D471" s="98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9"/>
      <c r="B472" s="9"/>
      <c r="C472" s="98"/>
      <c r="D472" s="98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9"/>
      <c r="B473" s="9"/>
      <c r="C473" s="98"/>
      <c r="D473" s="98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9"/>
      <c r="B474" s="9"/>
      <c r="C474" s="98"/>
      <c r="D474" s="98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9"/>
      <c r="B475" s="9"/>
      <c r="C475" s="98"/>
      <c r="D475" s="98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9"/>
      <c r="B476" s="9"/>
      <c r="C476" s="98"/>
      <c r="D476" s="98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9"/>
      <c r="B477" s="9"/>
      <c r="C477" s="98"/>
      <c r="D477" s="98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9"/>
      <c r="B478" s="9"/>
      <c r="C478" s="98"/>
      <c r="D478" s="98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9"/>
      <c r="B479" s="9"/>
      <c r="C479" s="98"/>
      <c r="D479" s="98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9"/>
      <c r="B480" s="9"/>
      <c r="C480" s="98"/>
      <c r="D480" s="98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9"/>
      <c r="B481" s="9"/>
      <c r="C481" s="98"/>
      <c r="D481" s="98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9"/>
      <c r="B482" s="9"/>
      <c r="C482" s="98"/>
      <c r="D482" s="98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9"/>
      <c r="B483" s="9"/>
      <c r="C483" s="98"/>
      <c r="D483" s="98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9"/>
      <c r="B484" s="9"/>
      <c r="C484" s="98"/>
      <c r="D484" s="98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9"/>
      <c r="B485" s="9"/>
      <c r="C485" s="98"/>
      <c r="D485" s="98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9"/>
      <c r="B486" s="9"/>
      <c r="C486" s="98"/>
      <c r="D486" s="98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9"/>
      <c r="B487" s="9"/>
      <c r="C487" s="98"/>
      <c r="D487" s="98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9"/>
      <c r="B488" s="9"/>
      <c r="C488" s="98"/>
      <c r="D488" s="98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9"/>
      <c r="B489" s="9"/>
      <c r="C489" s="98"/>
      <c r="D489" s="98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9"/>
      <c r="B490" s="9"/>
      <c r="C490" s="98"/>
      <c r="D490" s="98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9"/>
      <c r="B491" s="9"/>
      <c r="C491" s="98"/>
      <c r="D491" s="98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9"/>
      <c r="B492" s="9"/>
      <c r="C492" s="98"/>
      <c r="D492" s="98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9"/>
      <c r="B493" s="9"/>
      <c r="C493" s="98"/>
      <c r="D493" s="98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9"/>
      <c r="B494" s="9"/>
      <c r="C494" s="98"/>
      <c r="D494" s="98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9"/>
      <c r="B495" s="9"/>
      <c r="C495" s="98"/>
      <c r="D495" s="98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9"/>
      <c r="B496" s="9"/>
      <c r="C496" s="98"/>
      <c r="D496" s="98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9"/>
      <c r="B497" s="9"/>
      <c r="C497" s="98"/>
      <c r="D497" s="98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9"/>
      <c r="B498" s="9"/>
      <c r="C498" s="98"/>
      <c r="D498" s="98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9"/>
      <c r="B499" s="9"/>
      <c r="C499" s="98"/>
      <c r="D499" s="98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9"/>
      <c r="B500" s="9"/>
      <c r="C500" s="98"/>
      <c r="D500" s="98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9"/>
      <c r="B501" s="9"/>
      <c r="C501" s="98"/>
      <c r="D501" s="98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9"/>
      <c r="B502" s="9"/>
      <c r="C502" s="98"/>
      <c r="D502" s="98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9"/>
      <c r="B503" s="9"/>
      <c r="C503" s="98"/>
      <c r="D503" s="98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9"/>
      <c r="B504" s="9"/>
      <c r="C504" s="98"/>
      <c r="D504" s="98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9"/>
      <c r="B505" s="9"/>
      <c r="C505" s="98"/>
      <c r="D505" s="98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9"/>
      <c r="B506" s="9"/>
      <c r="C506" s="98"/>
      <c r="D506" s="98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9"/>
      <c r="B507" s="9"/>
      <c r="C507" s="98"/>
      <c r="D507" s="98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9"/>
      <c r="B508" s="9"/>
      <c r="C508" s="98"/>
      <c r="D508" s="98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9"/>
      <c r="B509" s="9"/>
      <c r="C509" s="98"/>
      <c r="D509" s="98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9"/>
      <c r="B510" s="9"/>
      <c r="C510" s="98"/>
      <c r="D510" s="98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9"/>
      <c r="B511" s="9"/>
      <c r="C511" s="98"/>
      <c r="D511" s="98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9"/>
      <c r="B512" s="9"/>
      <c r="C512" s="98"/>
      <c r="D512" s="98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9"/>
      <c r="B513" s="9"/>
      <c r="C513" s="98"/>
      <c r="D513" s="98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9"/>
      <c r="B514" s="9"/>
      <c r="C514" s="98"/>
      <c r="D514" s="98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9"/>
      <c r="B515" s="9"/>
      <c r="C515" s="98"/>
      <c r="D515" s="98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9"/>
      <c r="B516" s="9"/>
      <c r="C516" s="98"/>
      <c r="D516" s="98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9"/>
      <c r="B517" s="9"/>
      <c r="C517" s="98"/>
      <c r="D517" s="98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9"/>
      <c r="B518" s="9"/>
      <c r="C518" s="98"/>
      <c r="D518" s="98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9"/>
      <c r="B519" s="9"/>
      <c r="C519" s="98"/>
      <c r="D519" s="98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9"/>
      <c r="B520" s="9"/>
      <c r="C520" s="98"/>
      <c r="D520" s="98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9"/>
      <c r="B521" s="9"/>
      <c r="C521" s="98"/>
      <c r="D521" s="98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9"/>
      <c r="B522" s="9"/>
      <c r="C522" s="98"/>
      <c r="D522" s="98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9"/>
      <c r="B523" s="9"/>
      <c r="C523" s="98"/>
      <c r="D523" s="98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9"/>
      <c r="B524" s="9"/>
      <c r="C524" s="98"/>
      <c r="D524" s="98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9"/>
      <c r="B525" s="9"/>
      <c r="C525" s="98"/>
      <c r="D525" s="98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9"/>
      <c r="B526" s="9"/>
      <c r="C526" s="98"/>
      <c r="D526" s="98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9"/>
      <c r="B527" s="9"/>
      <c r="C527" s="98"/>
      <c r="D527" s="98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9"/>
      <c r="B528" s="9"/>
      <c r="C528" s="98"/>
      <c r="D528" s="98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9"/>
      <c r="B529" s="9"/>
      <c r="C529" s="98"/>
      <c r="D529" s="98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9"/>
      <c r="B530" s="9"/>
      <c r="C530" s="98"/>
      <c r="D530" s="98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9"/>
      <c r="B531" s="9"/>
      <c r="C531" s="98"/>
      <c r="D531" s="98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9"/>
      <c r="B532" s="9"/>
      <c r="C532" s="98"/>
      <c r="D532" s="98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9"/>
      <c r="B533" s="9"/>
      <c r="C533" s="98"/>
      <c r="D533" s="98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9"/>
      <c r="B534" s="9"/>
      <c r="C534" s="98"/>
      <c r="D534" s="98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9"/>
      <c r="B535" s="9"/>
      <c r="C535" s="98"/>
      <c r="D535" s="98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9"/>
      <c r="B536" s="9"/>
      <c r="C536" s="98"/>
      <c r="D536" s="98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9"/>
      <c r="B537" s="9"/>
      <c r="C537" s="98"/>
      <c r="D537" s="98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9"/>
      <c r="B538" s="9"/>
      <c r="C538" s="98"/>
      <c r="D538" s="98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9"/>
      <c r="B539" s="9"/>
      <c r="C539" s="98"/>
      <c r="D539" s="98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9"/>
      <c r="B540" s="9"/>
      <c r="C540" s="98"/>
      <c r="D540" s="98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9"/>
      <c r="B541" s="9"/>
      <c r="C541" s="98"/>
      <c r="D541" s="98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9"/>
      <c r="B542" s="9"/>
      <c r="C542" s="98"/>
      <c r="D542" s="98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9"/>
      <c r="B543" s="9"/>
      <c r="C543" s="98"/>
      <c r="D543" s="98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9"/>
      <c r="B544" s="9"/>
      <c r="C544" s="98"/>
      <c r="D544" s="98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9"/>
      <c r="B545" s="9"/>
      <c r="C545" s="98"/>
      <c r="D545" s="98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9"/>
      <c r="B546" s="9"/>
      <c r="C546" s="98"/>
      <c r="D546" s="98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9"/>
      <c r="B547" s="9"/>
      <c r="C547" s="98"/>
      <c r="D547" s="98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9"/>
      <c r="B548" s="9"/>
      <c r="C548" s="98"/>
      <c r="D548" s="98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9"/>
      <c r="B549" s="9"/>
      <c r="C549" s="98"/>
      <c r="D549" s="98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9"/>
      <c r="B550" s="9"/>
      <c r="C550" s="98"/>
      <c r="D550" s="98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9"/>
      <c r="B551" s="9"/>
      <c r="C551" s="98"/>
      <c r="D551" s="98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9"/>
      <c r="B552" s="9"/>
      <c r="C552" s="98"/>
      <c r="D552" s="98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9"/>
      <c r="B553" s="9"/>
      <c r="C553" s="98"/>
      <c r="D553" s="98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9"/>
      <c r="B554" s="9"/>
      <c r="C554" s="98"/>
      <c r="D554" s="98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9"/>
      <c r="B555" s="9"/>
      <c r="C555" s="98"/>
      <c r="D555" s="98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9"/>
      <c r="B556" s="9"/>
      <c r="C556" s="98"/>
      <c r="D556" s="98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9"/>
      <c r="B557" s="9"/>
      <c r="C557" s="98"/>
      <c r="D557" s="98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9"/>
      <c r="B558" s="9"/>
      <c r="C558" s="98"/>
      <c r="D558" s="98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9"/>
      <c r="B559" s="9"/>
      <c r="C559" s="98"/>
      <c r="D559" s="98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9"/>
      <c r="B560" s="9"/>
      <c r="C560" s="98"/>
      <c r="D560" s="98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9"/>
      <c r="B561" s="9"/>
      <c r="C561" s="98"/>
      <c r="D561" s="98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9"/>
      <c r="B562" s="9"/>
      <c r="C562" s="98"/>
      <c r="D562" s="98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9"/>
      <c r="B563" s="9"/>
      <c r="C563" s="98"/>
      <c r="D563" s="98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9"/>
      <c r="B564" s="9"/>
      <c r="C564" s="98"/>
      <c r="D564" s="98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9"/>
      <c r="B565" s="9"/>
      <c r="C565" s="98"/>
      <c r="D565" s="98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9"/>
      <c r="B566" s="9"/>
      <c r="C566" s="98"/>
      <c r="D566" s="98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9"/>
      <c r="B567" s="9"/>
      <c r="C567" s="98"/>
      <c r="D567" s="98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9"/>
      <c r="B568" s="9"/>
      <c r="C568" s="98"/>
      <c r="D568" s="98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9"/>
      <c r="B569" s="9"/>
      <c r="C569" s="98"/>
      <c r="D569" s="98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9"/>
      <c r="B570" s="9"/>
      <c r="C570" s="98"/>
      <c r="D570" s="98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9"/>
      <c r="B571" s="9"/>
      <c r="C571" s="98"/>
      <c r="D571" s="98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9"/>
      <c r="B572" s="9"/>
      <c r="C572" s="98"/>
      <c r="D572" s="98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9"/>
      <c r="B573" s="9"/>
      <c r="C573" s="98"/>
      <c r="D573" s="98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9"/>
      <c r="B574" s="9"/>
      <c r="C574" s="98"/>
      <c r="D574" s="98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9"/>
      <c r="B575" s="9"/>
      <c r="C575" s="98"/>
      <c r="D575" s="98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9"/>
      <c r="B576" s="9"/>
      <c r="C576" s="98"/>
      <c r="D576" s="98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9"/>
      <c r="B577" s="9"/>
      <c r="C577" s="98"/>
      <c r="D577" s="98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9"/>
      <c r="B578" s="9"/>
      <c r="C578" s="98"/>
      <c r="D578" s="98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9"/>
      <c r="B579" s="9"/>
      <c r="C579" s="98"/>
      <c r="D579" s="98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9"/>
      <c r="B580" s="9"/>
      <c r="C580" s="98"/>
      <c r="D580" s="98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9"/>
      <c r="B581" s="9"/>
      <c r="C581" s="98"/>
      <c r="D581" s="98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9"/>
      <c r="B582" s="9"/>
      <c r="C582" s="98"/>
      <c r="D582" s="98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9"/>
      <c r="B583" s="9"/>
      <c r="C583" s="98"/>
      <c r="D583" s="98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9"/>
      <c r="B584" s="9"/>
      <c r="C584" s="98"/>
      <c r="D584" s="98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9"/>
      <c r="B585" s="9"/>
      <c r="C585" s="98"/>
      <c r="D585" s="98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9"/>
      <c r="B586" s="9"/>
      <c r="C586" s="98"/>
      <c r="D586" s="98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9"/>
      <c r="B587" s="9"/>
      <c r="C587" s="98"/>
      <c r="D587" s="98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9"/>
      <c r="B588" s="9"/>
      <c r="C588" s="98"/>
      <c r="D588" s="98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9"/>
      <c r="B589" s="9"/>
      <c r="C589" s="98"/>
      <c r="D589" s="98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9"/>
      <c r="B590" s="9"/>
      <c r="C590" s="98"/>
      <c r="D590" s="98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9"/>
      <c r="B591" s="9"/>
      <c r="C591" s="98"/>
      <c r="D591" s="98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9"/>
      <c r="B592" s="9"/>
      <c r="C592" s="98"/>
      <c r="D592" s="98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9"/>
      <c r="B593" s="9"/>
      <c r="C593" s="98"/>
      <c r="D593" s="98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9"/>
      <c r="B594" s="9"/>
      <c r="C594" s="98"/>
      <c r="D594" s="98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9"/>
      <c r="B595" s="9"/>
      <c r="C595" s="98"/>
      <c r="D595" s="98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9"/>
      <c r="B596" s="9"/>
      <c r="C596" s="98"/>
      <c r="D596" s="98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9"/>
      <c r="B597" s="9"/>
      <c r="C597" s="98"/>
      <c r="D597" s="98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9"/>
      <c r="B598" s="9"/>
      <c r="C598" s="98"/>
      <c r="D598" s="98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9"/>
      <c r="B599" s="9"/>
      <c r="C599" s="98"/>
      <c r="D599" s="98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9"/>
      <c r="B600" s="9"/>
      <c r="C600" s="98"/>
      <c r="D600" s="98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9"/>
      <c r="B601" s="9"/>
      <c r="C601" s="98"/>
      <c r="D601" s="98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9"/>
      <c r="B602" s="9"/>
      <c r="C602" s="98"/>
      <c r="D602" s="98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9"/>
      <c r="B603" s="9"/>
      <c r="C603" s="98"/>
      <c r="D603" s="98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9"/>
      <c r="B604" s="9"/>
      <c r="C604" s="98"/>
      <c r="D604" s="98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9"/>
      <c r="B605" s="9"/>
      <c r="C605" s="98"/>
      <c r="D605" s="98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9"/>
      <c r="B606" s="9"/>
      <c r="C606" s="98"/>
      <c r="D606" s="98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9"/>
      <c r="B607" s="9"/>
      <c r="C607" s="98"/>
      <c r="D607" s="98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9"/>
      <c r="B608" s="9"/>
      <c r="C608" s="98"/>
      <c r="D608" s="98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9"/>
      <c r="B609" s="9"/>
      <c r="C609" s="98"/>
      <c r="D609" s="98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9"/>
      <c r="B610" s="9"/>
      <c r="C610" s="98"/>
      <c r="D610" s="98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9"/>
      <c r="B611" s="9"/>
      <c r="C611" s="98"/>
      <c r="D611" s="98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9"/>
      <c r="B612" s="9"/>
      <c r="C612" s="98"/>
      <c r="D612" s="98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9"/>
      <c r="B613" s="9"/>
      <c r="C613" s="98"/>
      <c r="D613" s="98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9"/>
      <c r="B614" s="9"/>
      <c r="C614" s="98"/>
      <c r="D614" s="98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9"/>
      <c r="B615" s="9"/>
      <c r="C615" s="98"/>
      <c r="D615" s="98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9"/>
      <c r="B616" s="9"/>
      <c r="C616" s="98"/>
      <c r="D616" s="98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9"/>
      <c r="B617" s="9"/>
      <c r="C617" s="98"/>
      <c r="D617" s="98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9"/>
      <c r="B618" s="9"/>
      <c r="C618" s="98"/>
      <c r="D618" s="98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9"/>
      <c r="B619" s="9"/>
      <c r="C619" s="98"/>
      <c r="D619" s="98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9"/>
      <c r="B620" s="9"/>
      <c r="C620" s="98"/>
      <c r="D620" s="98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9"/>
      <c r="B621" s="9"/>
      <c r="C621" s="98"/>
      <c r="D621" s="98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9"/>
      <c r="B622" s="9"/>
      <c r="C622" s="98"/>
      <c r="D622" s="98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9"/>
      <c r="B623" s="9"/>
      <c r="C623" s="98"/>
      <c r="D623" s="98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9"/>
      <c r="B624" s="9"/>
      <c r="C624" s="98"/>
      <c r="D624" s="98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9"/>
      <c r="B625" s="9"/>
      <c r="C625" s="98"/>
      <c r="D625" s="98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9"/>
      <c r="B626" s="9"/>
      <c r="C626" s="98"/>
      <c r="D626" s="98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9"/>
      <c r="B627" s="9"/>
      <c r="C627" s="98"/>
      <c r="D627" s="98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9"/>
      <c r="B628" s="9"/>
      <c r="C628" s="98"/>
      <c r="D628" s="98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9"/>
      <c r="B629" s="9"/>
      <c r="C629" s="98"/>
      <c r="D629" s="98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9"/>
      <c r="B630" s="9"/>
      <c r="C630" s="98"/>
      <c r="D630" s="98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9"/>
      <c r="B631" s="9"/>
      <c r="C631" s="98"/>
      <c r="D631" s="98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9"/>
      <c r="B632" s="9"/>
      <c r="C632" s="98"/>
      <c r="D632" s="98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9"/>
      <c r="B633" s="9"/>
      <c r="C633" s="98"/>
      <c r="D633" s="98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9"/>
      <c r="B634" s="9"/>
      <c r="C634" s="98"/>
      <c r="D634" s="98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9"/>
      <c r="B635" s="9"/>
      <c r="C635" s="98"/>
      <c r="D635" s="98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9"/>
      <c r="B636" s="9"/>
      <c r="C636" s="98"/>
      <c r="D636" s="98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9"/>
      <c r="B637" s="9"/>
      <c r="C637" s="98"/>
      <c r="D637" s="98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9"/>
      <c r="B638" s="9"/>
      <c r="C638" s="98"/>
      <c r="D638" s="98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9"/>
      <c r="B639" s="9"/>
      <c r="C639" s="98"/>
      <c r="D639" s="98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9"/>
      <c r="B640" s="9"/>
      <c r="C640" s="98"/>
      <c r="D640" s="98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9"/>
      <c r="B641" s="9"/>
      <c r="C641" s="98"/>
      <c r="D641" s="98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9"/>
      <c r="B642" s="9"/>
      <c r="C642" s="98"/>
      <c r="D642" s="98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9"/>
      <c r="B643" s="9"/>
      <c r="C643" s="98"/>
      <c r="D643" s="98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9"/>
      <c r="B644" s="9"/>
      <c r="C644" s="98"/>
      <c r="D644" s="98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9"/>
      <c r="B645" s="9"/>
      <c r="C645" s="98"/>
      <c r="D645" s="98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9"/>
      <c r="B646" s="9"/>
      <c r="C646" s="98"/>
      <c r="D646" s="98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9"/>
      <c r="B647" s="9"/>
      <c r="C647" s="98"/>
      <c r="D647" s="98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9"/>
      <c r="B648" s="9"/>
      <c r="C648" s="98"/>
      <c r="D648" s="98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9"/>
      <c r="B649" s="9"/>
      <c r="C649" s="98"/>
      <c r="D649" s="98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9"/>
      <c r="B650" s="9"/>
      <c r="C650" s="98"/>
      <c r="D650" s="98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9"/>
      <c r="B651" s="9"/>
      <c r="C651" s="98"/>
      <c r="D651" s="98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9"/>
      <c r="B652" s="9"/>
      <c r="C652" s="98"/>
      <c r="D652" s="98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9"/>
      <c r="B653" s="9"/>
      <c r="C653" s="98"/>
      <c r="D653" s="98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9"/>
      <c r="B654" s="9"/>
      <c r="C654" s="98"/>
      <c r="D654" s="98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9"/>
      <c r="B655" s="9"/>
      <c r="C655" s="98"/>
      <c r="D655" s="98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9"/>
      <c r="B656" s="9"/>
      <c r="C656" s="98"/>
      <c r="D656" s="98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9"/>
      <c r="B657" s="9"/>
      <c r="C657" s="98"/>
      <c r="D657" s="98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9"/>
      <c r="B658" s="9"/>
      <c r="C658" s="98"/>
      <c r="D658" s="98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9"/>
      <c r="B659" s="9"/>
      <c r="C659" s="98"/>
      <c r="D659" s="98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9"/>
      <c r="B660" s="9"/>
      <c r="C660" s="98"/>
      <c r="D660" s="98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9"/>
      <c r="B661" s="9"/>
      <c r="C661" s="98"/>
      <c r="D661" s="98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9"/>
      <c r="B662" s="9"/>
      <c r="C662" s="98"/>
      <c r="D662" s="98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9"/>
      <c r="B663" s="9"/>
      <c r="C663" s="98"/>
      <c r="D663" s="98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9"/>
      <c r="B664" s="9"/>
      <c r="C664" s="98"/>
      <c r="D664" s="98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9"/>
      <c r="B665" s="9"/>
      <c r="C665" s="98"/>
      <c r="D665" s="98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9"/>
      <c r="B666" s="9"/>
      <c r="C666" s="98"/>
      <c r="D666" s="98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9"/>
      <c r="B667" s="9"/>
      <c r="C667" s="98"/>
      <c r="D667" s="98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9"/>
      <c r="B668" s="9"/>
      <c r="C668" s="98"/>
      <c r="D668" s="98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9"/>
      <c r="B669" s="9"/>
      <c r="C669" s="98"/>
      <c r="D669" s="98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9"/>
      <c r="B670" s="9"/>
      <c r="C670" s="98"/>
      <c r="D670" s="98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9"/>
      <c r="B671" s="9"/>
      <c r="C671" s="98"/>
      <c r="D671" s="98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9"/>
      <c r="B672" s="9"/>
      <c r="C672" s="98"/>
      <c r="D672" s="98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9"/>
      <c r="B673" s="9"/>
      <c r="C673" s="98"/>
      <c r="D673" s="98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9"/>
      <c r="B674" s="9"/>
      <c r="C674" s="98"/>
      <c r="D674" s="98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9"/>
      <c r="B675" s="9"/>
      <c r="C675" s="98"/>
      <c r="D675" s="98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9"/>
      <c r="B676" s="9"/>
      <c r="C676" s="98"/>
      <c r="D676" s="98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9"/>
      <c r="B677" s="9"/>
      <c r="C677" s="98"/>
      <c r="D677" s="98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9"/>
      <c r="B678" s="9"/>
      <c r="C678" s="98"/>
      <c r="D678" s="98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9"/>
      <c r="B679" s="9"/>
      <c r="C679" s="98"/>
      <c r="D679" s="98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9"/>
      <c r="B680" s="9"/>
      <c r="C680" s="98"/>
      <c r="D680" s="98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9"/>
      <c r="B681" s="9"/>
      <c r="C681" s="98"/>
      <c r="D681" s="98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9"/>
      <c r="B682" s="9"/>
      <c r="C682" s="98"/>
      <c r="D682" s="98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9"/>
      <c r="B683" s="9"/>
      <c r="C683" s="98"/>
      <c r="D683" s="98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9"/>
      <c r="B684" s="9"/>
      <c r="C684" s="98"/>
      <c r="D684" s="98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9"/>
      <c r="B685" s="9"/>
      <c r="C685" s="98"/>
      <c r="D685" s="98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9"/>
      <c r="B686" s="9"/>
      <c r="C686" s="98"/>
      <c r="D686" s="98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9"/>
      <c r="B687" s="9"/>
      <c r="C687" s="98"/>
      <c r="D687" s="98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9"/>
      <c r="B688" s="9"/>
      <c r="C688" s="98"/>
      <c r="D688" s="98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9"/>
      <c r="B689" s="9"/>
      <c r="C689" s="98"/>
      <c r="D689" s="98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9"/>
      <c r="B690" s="9"/>
      <c r="C690" s="98"/>
      <c r="D690" s="98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9"/>
      <c r="B691" s="9"/>
      <c r="C691" s="98"/>
      <c r="D691" s="98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9"/>
      <c r="B692" s="9"/>
      <c r="C692" s="98"/>
      <c r="D692" s="98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9"/>
      <c r="B693" s="9"/>
      <c r="C693" s="98"/>
      <c r="D693" s="98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9"/>
      <c r="B694" s="9"/>
      <c r="C694" s="98"/>
      <c r="D694" s="98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9"/>
      <c r="B695" s="9"/>
      <c r="C695" s="98"/>
      <c r="D695" s="98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9"/>
      <c r="B696" s="9"/>
      <c r="C696" s="98"/>
      <c r="D696" s="98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9"/>
      <c r="B697" s="9"/>
      <c r="C697" s="98"/>
      <c r="D697" s="98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9"/>
      <c r="B698" s="9"/>
      <c r="C698" s="98"/>
      <c r="D698" s="98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9"/>
      <c r="B699" s="9"/>
      <c r="C699" s="98"/>
      <c r="D699" s="98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9"/>
      <c r="B700" s="9"/>
      <c r="C700" s="98"/>
      <c r="D700" s="98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9"/>
      <c r="B701" s="9"/>
      <c r="C701" s="98"/>
      <c r="D701" s="98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9"/>
      <c r="B702" s="9"/>
      <c r="C702" s="98"/>
      <c r="D702" s="98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9"/>
      <c r="B703" s="9"/>
      <c r="C703" s="98"/>
      <c r="D703" s="98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9"/>
      <c r="B704" s="9"/>
      <c r="C704" s="98"/>
      <c r="D704" s="98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9"/>
      <c r="B705" s="9"/>
      <c r="C705" s="98"/>
      <c r="D705" s="98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9"/>
      <c r="B706" s="9"/>
      <c r="C706" s="98"/>
      <c r="D706" s="98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9"/>
      <c r="B707" s="9"/>
      <c r="C707" s="98"/>
      <c r="D707" s="98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9"/>
      <c r="B708" s="9"/>
      <c r="C708" s="98"/>
      <c r="D708" s="98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9"/>
      <c r="B709" s="9"/>
      <c r="C709" s="98"/>
      <c r="D709" s="98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9"/>
      <c r="B710" s="9"/>
      <c r="C710" s="98"/>
      <c r="D710" s="98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9"/>
      <c r="B711" s="9"/>
      <c r="C711" s="98"/>
      <c r="D711" s="98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9"/>
      <c r="B712" s="9"/>
      <c r="C712" s="98"/>
      <c r="D712" s="98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9"/>
      <c r="B713" s="9"/>
      <c r="C713" s="98"/>
      <c r="D713" s="98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9"/>
      <c r="B714" s="9"/>
      <c r="C714" s="98"/>
      <c r="D714" s="98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9"/>
      <c r="B715" s="9"/>
      <c r="C715" s="98"/>
      <c r="D715" s="98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9"/>
      <c r="B716" s="9"/>
      <c r="C716" s="98"/>
      <c r="D716" s="98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9"/>
      <c r="B717" s="9"/>
      <c r="C717" s="98"/>
      <c r="D717" s="98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9"/>
      <c r="B718" s="9"/>
      <c r="C718" s="98"/>
      <c r="D718" s="98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9"/>
      <c r="B719" s="9"/>
      <c r="C719" s="98"/>
      <c r="D719" s="98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9"/>
      <c r="B720" s="9"/>
      <c r="C720" s="98"/>
      <c r="D720" s="98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9"/>
      <c r="B721" s="9"/>
      <c r="C721" s="98"/>
      <c r="D721" s="98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9"/>
      <c r="B722" s="9"/>
      <c r="C722" s="98"/>
      <c r="D722" s="98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9"/>
      <c r="B723" s="9"/>
      <c r="C723" s="98"/>
      <c r="D723" s="98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9"/>
      <c r="B724" s="9"/>
      <c r="C724" s="98"/>
      <c r="D724" s="98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9"/>
      <c r="B725" s="9"/>
      <c r="C725" s="98"/>
      <c r="D725" s="98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9"/>
      <c r="B726" s="9"/>
      <c r="C726" s="98"/>
      <c r="D726" s="98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9"/>
      <c r="B727" s="9"/>
      <c r="C727" s="98"/>
      <c r="D727" s="98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9"/>
      <c r="B728" s="9"/>
      <c r="C728" s="98"/>
      <c r="D728" s="98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9"/>
      <c r="B729" s="9"/>
      <c r="C729" s="98"/>
      <c r="D729" s="98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9"/>
      <c r="B730" s="9"/>
      <c r="C730" s="98"/>
      <c r="D730" s="98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9"/>
      <c r="B731" s="9"/>
      <c r="C731" s="98"/>
      <c r="D731" s="98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9"/>
      <c r="B732" s="9"/>
      <c r="C732" s="98"/>
      <c r="D732" s="98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9"/>
      <c r="B733" s="9"/>
      <c r="C733" s="98"/>
      <c r="D733" s="98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9"/>
      <c r="B734" s="9"/>
      <c r="C734" s="98"/>
      <c r="D734" s="98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9"/>
      <c r="B735" s="9"/>
      <c r="C735" s="98"/>
      <c r="D735" s="98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9"/>
      <c r="B736" s="9"/>
      <c r="C736" s="98"/>
      <c r="D736" s="98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9"/>
      <c r="B737" s="9"/>
      <c r="C737" s="98"/>
      <c r="D737" s="98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9"/>
      <c r="B738" s="9"/>
      <c r="C738" s="98"/>
      <c r="D738" s="98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9"/>
      <c r="B739" s="9"/>
      <c r="C739" s="98"/>
      <c r="D739" s="98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9"/>
      <c r="B740" s="9"/>
      <c r="C740" s="98"/>
      <c r="D740" s="98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9"/>
      <c r="B741" s="9"/>
      <c r="C741" s="98"/>
      <c r="D741" s="98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9"/>
      <c r="B742" s="9"/>
      <c r="C742" s="98"/>
      <c r="D742" s="98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9"/>
      <c r="B743" s="9"/>
      <c r="C743" s="98"/>
      <c r="D743" s="98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9"/>
      <c r="B744" s="9"/>
      <c r="C744" s="98"/>
      <c r="D744" s="98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9"/>
      <c r="B745" s="9"/>
      <c r="C745" s="98"/>
      <c r="D745" s="98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9"/>
      <c r="B746" s="9"/>
      <c r="C746" s="98"/>
      <c r="D746" s="98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9"/>
      <c r="B747" s="9"/>
      <c r="C747" s="98"/>
      <c r="D747" s="98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9"/>
      <c r="B748" s="9"/>
      <c r="C748" s="98"/>
      <c r="D748" s="98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9"/>
      <c r="B749" s="9"/>
      <c r="C749" s="98"/>
      <c r="D749" s="98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9"/>
      <c r="B750" s="9"/>
      <c r="C750" s="98"/>
      <c r="D750" s="98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9"/>
      <c r="B751" s="9"/>
      <c r="C751" s="98"/>
      <c r="D751" s="98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9"/>
      <c r="B752" s="9"/>
      <c r="C752" s="98"/>
      <c r="D752" s="98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9"/>
      <c r="B753" s="9"/>
      <c r="C753" s="98"/>
      <c r="D753" s="98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9"/>
      <c r="B754" s="9"/>
      <c r="C754" s="98"/>
      <c r="D754" s="98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9"/>
      <c r="B755" s="9"/>
      <c r="C755" s="98"/>
      <c r="D755" s="98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9"/>
      <c r="B756" s="9"/>
      <c r="C756" s="98"/>
      <c r="D756" s="98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9"/>
      <c r="B757" s="9"/>
      <c r="C757" s="98"/>
      <c r="D757" s="98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9"/>
      <c r="B758" s="9"/>
      <c r="C758" s="98"/>
      <c r="D758" s="98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9"/>
      <c r="B759" s="9"/>
      <c r="C759" s="98"/>
      <c r="D759" s="98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9"/>
      <c r="B760" s="9"/>
      <c r="C760" s="98"/>
      <c r="D760" s="98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9"/>
      <c r="B761" s="9"/>
      <c r="C761" s="98"/>
      <c r="D761" s="98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9"/>
      <c r="B762" s="9"/>
      <c r="C762" s="98"/>
      <c r="D762" s="98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9"/>
      <c r="B763" s="9"/>
      <c r="C763" s="98"/>
      <c r="D763" s="98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9"/>
      <c r="B764" s="9"/>
      <c r="C764" s="98"/>
      <c r="D764" s="98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9"/>
      <c r="B765" s="9"/>
      <c r="C765" s="98"/>
      <c r="D765" s="98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9"/>
      <c r="B766" s="9"/>
      <c r="C766" s="98"/>
      <c r="D766" s="98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9"/>
      <c r="B767" s="9"/>
      <c r="C767" s="98"/>
      <c r="D767" s="98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9"/>
      <c r="B768" s="9"/>
      <c r="C768" s="98"/>
      <c r="D768" s="98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9"/>
      <c r="B769" s="9"/>
      <c r="C769" s="98"/>
      <c r="D769" s="98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9"/>
      <c r="B770" s="9"/>
      <c r="C770" s="98"/>
      <c r="D770" s="98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9"/>
      <c r="B771" s="9"/>
      <c r="C771" s="98"/>
      <c r="D771" s="98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9"/>
      <c r="B772" s="9"/>
      <c r="C772" s="98"/>
      <c r="D772" s="98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9"/>
      <c r="B773" s="9"/>
      <c r="C773" s="98"/>
      <c r="D773" s="98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9"/>
      <c r="B774" s="9"/>
      <c r="C774" s="98"/>
      <c r="D774" s="98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9"/>
      <c r="B775" s="9"/>
      <c r="C775" s="98"/>
      <c r="D775" s="98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9"/>
      <c r="B776" s="9"/>
      <c r="C776" s="98"/>
      <c r="D776" s="98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9"/>
      <c r="B777" s="9"/>
      <c r="C777" s="98"/>
      <c r="D777" s="98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9"/>
      <c r="B778" s="9"/>
      <c r="C778" s="98"/>
      <c r="D778" s="98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9"/>
      <c r="B779" s="9"/>
      <c r="C779" s="98"/>
      <c r="D779" s="98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9"/>
      <c r="B780" s="9"/>
      <c r="C780" s="98"/>
      <c r="D780" s="98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9"/>
      <c r="B781" s="9"/>
      <c r="C781" s="98"/>
      <c r="D781" s="98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9"/>
      <c r="B782" s="9"/>
      <c r="C782" s="98"/>
      <c r="D782" s="98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9"/>
      <c r="B783" s="9"/>
      <c r="C783" s="98"/>
      <c r="D783" s="98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9"/>
      <c r="B784" s="9"/>
      <c r="C784" s="98"/>
      <c r="D784" s="98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9"/>
      <c r="B785" s="9"/>
      <c r="C785" s="98"/>
      <c r="D785" s="98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9"/>
      <c r="B786" s="9"/>
      <c r="C786" s="98"/>
      <c r="D786" s="98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9"/>
      <c r="B787" s="9"/>
      <c r="C787" s="98"/>
      <c r="D787" s="98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9"/>
      <c r="B788" s="9"/>
      <c r="C788" s="98"/>
      <c r="D788" s="98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9"/>
      <c r="B789" s="9"/>
      <c r="C789" s="98"/>
      <c r="D789" s="98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9"/>
      <c r="B790" s="9"/>
      <c r="C790" s="98"/>
      <c r="D790" s="98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9"/>
      <c r="B791" s="9"/>
      <c r="C791" s="98"/>
      <c r="D791" s="98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9"/>
      <c r="B792" s="9"/>
      <c r="C792" s="98"/>
      <c r="D792" s="98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9"/>
      <c r="B793" s="9"/>
      <c r="C793" s="98"/>
      <c r="D793" s="98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9"/>
      <c r="B794" s="9"/>
      <c r="C794" s="98"/>
      <c r="D794" s="98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9"/>
      <c r="B795" s="9"/>
      <c r="C795" s="98"/>
      <c r="D795" s="98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9"/>
      <c r="B796" s="9"/>
      <c r="C796" s="98"/>
      <c r="D796" s="98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9"/>
      <c r="B797" s="9"/>
      <c r="C797" s="98"/>
      <c r="D797" s="98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9"/>
      <c r="B798" s="9"/>
      <c r="C798" s="98"/>
      <c r="D798" s="98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9"/>
      <c r="B799" s="9"/>
      <c r="C799" s="98"/>
      <c r="D799" s="98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9"/>
      <c r="B800" s="9"/>
      <c r="C800" s="98"/>
      <c r="D800" s="98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9"/>
      <c r="B801" s="9"/>
      <c r="C801" s="98"/>
      <c r="D801" s="98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9"/>
      <c r="B802" s="9"/>
      <c r="C802" s="98"/>
      <c r="D802" s="98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9"/>
      <c r="B803" s="9"/>
      <c r="C803" s="98"/>
      <c r="D803" s="98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9"/>
      <c r="B804" s="9"/>
      <c r="C804" s="98"/>
      <c r="D804" s="98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9"/>
      <c r="B805" s="9"/>
      <c r="C805" s="98"/>
      <c r="D805" s="98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9"/>
      <c r="B806" s="9"/>
      <c r="C806" s="98"/>
      <c r="D806" s="98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9"/>
      <c r="B807" s="9"/>
      <c r="C807" s="98"/>
      <c r="D807" s="98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9"/>
      <c r="B808" s="9"/>
      <c r="C808" s="98"/>
      <c r="D808" s="98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9"/>
      <c r="B809" s="9"/>
      <c r="C809" s="98"/>
      <c r="D809" s="98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9"/>
      <c r="B810" s="9"/>
      <c r="C810" s="98"/>
      <c r="D810" s="98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9"/>
      <c r="B811" s="9"/>
      <c r="C811" s="98"/>
      <c r="D811" s="98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9"/>
      <c r="B812" s="9"/>
      <c r="C812" s="98"/>
      <c r="D812" s="98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9"/>
      <c r="B813" s="9"/>
      <c r="C813" s="98"/>
      <c r="D813" s="98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9"/>
      <c r="B814" s="9"/>
      <c r="C814" s="98"/>
      <c r="D814" s="98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9"/>
      <c r="B815" s="9"/>
      <c r="C815" s="98"/>
      <c r="D815" s="98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9"/>
      <c r="B816" s="9"/>
      <c r="C816" s="98"/>
      <c r="D816" s="98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9"/>
      <c r="B817" s="9"/>
      <c r="C817" s="98"/>
      <c r="D817" s="98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9"/>
      <c r="B818" s="9"/>
      <c r="C818" s="98"/>
      <c r="D818" s="98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9"/>
      <c r="B819" s="9"/>
      <c r="C819" s="98"/>
      <c r="D819" s="98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9"/>
      <c r="B820" s="9"/>
      <c r="C820" s="98"/>
      <c r="D820" s="98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9"/>
      <c r="B821" s="9"/>
      <c r="C821" s="98"/>
      <c r="D821" s="98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9"/>
      <c r="B822" s="9"/>
      <c r="C822" s="98"/>
      <c r="D822" s="98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9"/>
      <c r="B823" s="9"/>
      <c r="C823" s="98"/>
      <c r="D823" s="98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9"/>
      <c r="B824" s="9"/>
      <c r="C824" s="98"/>
      <c r="D824" s="98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9"/>
      <c r="B825" s="9"/>
      <c r="C825" s="98"/>
      <c r="D825" s="98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9"/>
      <c r="B826" s="9"/>
      <c r="C826" s="98"/>
      <c r="D826" s="98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9"/>
      <c r="B827" s="9"/>
      <c r="C827" s="98"/>
      <c r="D827" s="98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9"/>
      <c r="B828" s="9"/>
      <c r="C828" s="98"/>
      <c r="D828" s="98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9"/>
      <c r="B829" s="9"/>
      <c r="C829" s="98"/>
      <c r="D829" s="98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9"/>
      <c r="B830" s="9"/>
      <c r="C830" s="98"/>
      <c r="D830" s="98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9"/>
      <c r="B831" s="9"/>
      <c r="C831" s="98"/>
      <c r="D831" s="98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9"/>
      <c r="B832" s="9"/>
      <c r="C832" s="98"/>
      <c r="D832" s="98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9"/>
      <c r="B833" s="9"/>
      <c r="C833" s="98"/>
      <c r="D833" s="98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9"/>
      <c r="B834" s="9"/>
      <c r="C834" s="98"/>
      <c r="D834" s="98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9"/>
      <c r="B835" s="9"/>
      <c r="C835" s="98"/>
      <c r="D835" s="98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9"/>
      <c r="B836" s="9"/>
      <c r="C836" s="98"/>
      <c r="D836" s="98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9"/>
      <c r="B837" s="9"/>
      <c r="C837" s="98"/>
      <c r="D837" s="98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9"/>
      <c r="B838" s="9"/>
      <c r="C838" s="98"/>
      <c r="D838" s="98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9"/>
      <c r="B839" s="9"/>
      <c r="C839" s="98"/>
      <c r="D839" s="98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9"/>
      <c r="B840" s="9"/>
      <c r="C840" s="98"/>
      <c r="D840" s="98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9"/>
      <c r="B841" s="9"/>
      <c r="C841" s="98"/>
      <c r="D841" s="98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9"/>
      <c r="B842" s="9"/>
      <c r="C842" s="98"/>
      <c r="D842" s="98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9"/>
      <c r="B843" s="9"/>
      <c r="C843" s="98"/>
      <c r="D843" s="98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9"/>
      <c r="B844" s="9"/>
      <c r="C844" s="98"/>
      <c r="D844" s="98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9"/>
      <c r="B845" s="9"/>
      <c r="C845" s="98"/>
      <c r="D845" s="98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9"/>
      <c r="B846" s="9"/>
      <c r="C846" s="98"/>
      <c r="D846" s="98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9"/>
      <c r="B847" s="9"/>
      <c r="C847" s="98"/>
      <c r="D847" s="98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9"/>
      <c r="B848" s="9"/>
      <c r="C848" s="98"/>
      <c r="D848" s="98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9"/>
      <c r="B849" s="9"/>
      <c r="C849" s="98"/>
      <c r="D849" s="98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9"/>
      <c r="B850" s="9"/>
      <c r="C850" s="98"/>
      <c r="D850" s="98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9"/>
      <c r="B851" s="9"/>
      <c r="C851" s="98"/>
      <c r="D851" s="98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9"/>
      <c r="B852" s="9"/>
      <c r="C852" s="98"/>
      <c r="D852" s="98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9"/>
      <c r="B853" s="9"/>
      <c r="C853" s="98"/>
      <c r="D853" s="98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9"/>
      <c r="B854" s="9"/>
      <c r="C854" s="98"/>
      <c r="D854" s="98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9"/>
      <c r="B855" s="9"/>
      <c r="C855" s="98"/>
      <c r="D855" s="98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9"/>
      <c r="B856" s="9"/>
      <c r="C856" s="98"/>
      <c r="D856" s="98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9"/>
      <c r="B857" s="9"/>
      <c r="C857" s="98"/>
      <c r="D857" s="98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9"/>
      <c r="B858" s="9"/>
      <c r="C858" s="98"/>
      <c r="D858" s="98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9"/>
      <c r="B859" s="9"/>
      <c r="C859" s="98"/>
      <c r="D859" s="98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9"/>
      <c r="B860" s="9"/>
      <c r="C860" s="98"/>
      <c r="D860" s="98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9"/>
      <c r="B861" s="9"/>
      <c r="C861" s="98"/>
      <c r="D861" s="98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9"/>
      <c r="B862" s="9"/>
      <c r="C862" s="98"/>
      <c r="D862" s="98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9"/>
      <c r="B863" s="9"/>
      <c r="C863" s="98"/>
      <c r="D863" s="98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9"/>
      <c r="B864" s="9"/>
      <c r="C864" s="98"/>
      <c r="D864" s="98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9"/>
      <c r="B865" s="9"/>
      <c r="C865" s="98"/>
      <c r="D865" s="98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9"/>
      <c r="B866" s="9"/>
      <c r="C866" s="98"/>
      <c r="D866" s="98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9"/>
      <c r="B867" s="9"/>
      <c r="C867" s="98"/>
      <c r="D867" s="98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9"/>
      <c r="B868" s="9"/>
      <c r="C868" s="98"/>
      <c r="D868" s="98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9"/>
      <c r="B869" s="9"/>
      <c r="C869" s="98"/>
      <c r="D869" s="98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9"/>
      <c r="B870" s="9"/>
      <c r="C870" s="98"/>
      <c r="D870" s="98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9"/>
      <c r="B871" s="9"/>
      <c r="C871" s="98"/>
      <c r="D871" s="98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9"/>
      <c r="B872" s="9"/>
      <c r="C872" s="98"/>
      <c r="D872" s="98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9"/>
      <c r="B873" s="9"/>
      <c r="C873" s="98"/>
      <c r="D873" s="98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9"/>
      <c r="B874" s="9"/>
      <c r="C874" s="98"/>
      <c r="D874" s="98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9"/>
      <c r="B875" s="9"/>
      <c r="C875" s="98"/>
      <c r="D875" s="98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9"/>
      <c r="B876" s="9"/>
      <c r="C876" s="98"/>
      <c r="D876" s="98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9"/>
      <c r="B877" s="9"/>
      <c r="C877" s="98"/>
      <c r="D877" s="98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9"/>
      <c r="B878" s="9"/>
      <c r="C878" s="98"/>
      <c r="D878" s="98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9"/>
      <c r="B879" s="9"/>
      <c r="C879" s="98"/>
      <c r="D879" s="98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9"/>
      <c r="B880" s="9"/>
      <c r="C880" s="98"/>
      <c r="D880" s="98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9"/>
      <c r="B881" s="9"/>
      <c r="C881" s="98"/>
      <c r="D881" s="98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9"/>
      <c r="B882" s="9"/>
      <c r="C882" s="98"/>
      <c r="D882" s="98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9"/>
      <c r="B883" s="9"/>
      <c r="C883" s="98"/>
      <c r="D883" s="98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9"/>
      <c r="B884" s="9"/>
      <c r="C884" s="98"/>
      <c r="D884" s="98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9"/>
      <c r="B885" s="9"/>
      <c r="C885" s="98"/>
      <c r="D885" s="98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9"/>
      <c r="B886" s="9"/>
      <c r="C886" s="98"/>
      <c r="D886" s="98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9"/>
      <c r="B887" s="9"/>
      <c r="C887" s="98"/>
      <c r="D887" s="98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9"/>
      <c r="B888" s="9"/>
      <c r="C888" s="98"/>
      <c r="D888" s="98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9"/>
      <c r="B889" s="9"/>
      <c r="C889" s="98"/>
      <c r="D889" s="98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9"/>
      <c r="B890" s="9"/>
      <c r="C890" s="98"/>
      <c r="D890" s="98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9"/>
      <c r="B891" s="9"/>
      <c r="C891" s="98"/>
      <c r="D891" s="98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9"/>
      <c r="B892" s="9"/>
      <c r="C892" s="98"/>
      <c r="D892" s="98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9"/>
      <c r="B893" s="9"/>
      <c r="C893" s="98"/>
      <c r="D893" s="98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9"/>
      <c r="B894" s="9"/>
      <c r="C894" s="98"/>
      <c r="D894" s="98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9"/>
      <c r="B895" s="9"/>
      <c r="C895" s="98"/>
      <c r="D895" s="98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9"/>
      <c r="B896" s="9"/>
      <c r="C896" s="98"/>
      <c r="D896" s="98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9"/>
      <c r="B897" s="9"/>
      <c r="C897" s="98"/>
      <c r="D897" s="98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9"/>
      <c r="B898" s="9"/>
      <c r="C898" s="98"/>
      <c r="D898" s="98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9"/>
      <c r="B899" s="9"/>
      <c r="C899" s="98"/>
      <c r="D899" s="98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9"/>
      <c r="B900" s="9"/>
      <c r="C900" s="98"/>
      <c r="D900" s="98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9"/>
      <c r="B901" s="9"/>
      <c r="C901" s="98"/>
      <c r="D901" s="98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9"/>
      <c r="B902" s="9"/>
      <c r="C902" s="98"/>
      <c r="D902" s="98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9"/>
      <c r="B903" s="9"/>
      <c r="C903" s="98"/>
      <c r="D903" s="98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9"/>
      <c r="B904" s="9"/>
      <c r="C904" s="98"/>
      <c r="D904" s="98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9"/>
      <c r="B905" s="9"/>
      <c r="C905" s="98"/>
      <c r="D905" s="98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9"/>
      <c r="B906" s="9"/>
      <c r="C906" s="98"/>
      <c r="D906" s="98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9"/>
      <c r="B907" s="9"/>
      <c r="C907" s="98"/>
      <c r="D907" s="98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9"/>
      <c r="B908" s="9"/>
      <c r="C908" s="98"/>
      <c r="D908" s="98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9"/>
      <c r="B909" s="9"/>
      <c r="C909" s="98"/>
      <c r="D909" s="98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9"/>
      <c r="B910" s="9"/>
      <c r="C910" s="98"/>
      <c r="D910" s="98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9"/>
      <c r="B911" s="9"/>
      <c r="C911" s="98"/>
      <c r="D911" s="98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9"/>
      <c r="B912" s="9"/>
      <c r="C912" s="98"/>
      <c r="D912" s="98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9"/>
      <c r="B913" s="9"/>
      <c r="C913" s="98"/>
      <c r="D913" s="98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9"/>
      <c r="B914" s="9"/>
      <c r="C914" s="98"/>
      <c r="D914" s="98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9"/>
      <c r="B915" s="9"/>
      <c r="C915" s="98"/>
      <c r="D915" s="98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9"/>
      <c r="B916" s="9"/>
      <c r="C916" s="98"/>
      <c r="D916" s="98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9"/>
      <c r="B917" s="9"/>
      <c r="C917" s="98"/>
      <c r="D917" s="98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9"/>
      <c r="B918" s="9"/>
      <c r="C918" s="98"/>
      <c r="D918" s="98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9"/>
      <c r="B919" s="9"/>
      <c r="C919" s="98"/>
      <c r="D919" s="98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9"/>
      <c r="B920" s="9"/>
      <c r="C920" s="98"/>
      <c r="D920" s="98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9"/>
      <c r="B921" s="9"/>
      <c r="C921" s="98"/>
      <c r="D921" s="98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9"/>
      <c r="B922" s="9"/>
      <c r="C922" s="98"/>
      <c r="D922" s="98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9"/>
      <c r="B923" s="9"/>
      <c r="C923" s="98"/>
      <c r="D923" s="98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9"/>
      <c r="B924" s="9"/>
      <c r="C924" s="98"/>
      <c r="D924" s="98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9"/>
      <c r="B925" s="9"/>
      <c r="C925" s="98"/>
      <c r="D925" s="98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98"/>
      <c r="D926" s="98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98"/>
      <c r="D927" s="98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98"/>
      <c r="D928" s="98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98"/>
      <c r="D929" s="98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98"/>
      <c r="D930" s="98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98"/>
      <c r="D931" s="98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98"/>
      <c r="D932" s="98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98"/>
      <c r="D933" s="98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98"/>
      <c r="D934" s="98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98"/>
      <c r="D935" s="98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98"/>
      <c r="D936" s="98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98"/>
      <c r="D937" s="98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98"/>
      <c r="D938" s="98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98"/>
      <c r="D939" s="98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98"/>
      <c r="D940" s="98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98"/>
      <c r="D941" s="98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98"/>
      <c r="D942" s="98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98"/>
      <c r="D943" s="98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98"/>
      <c r="D944" s="98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98"/>
      <c r="D945" s="98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98"/>
      <c r="D946" s="98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98"/>
      <c r="D947" s="98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98"/>
      <c r="D948" s="98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98"/>
      <c r="D949" s="98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98"/>
      <c r="D950" s="98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98"/>
      <c r="D951" s="98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98"/>
      <c r="D952" s="98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98"/>
      <c r="D953" s="98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98"/>
      <c r="D954" s="98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98"/>
      <c r="D955" s="98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98"/>
      <c r="D956" s="98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98"/>
      <c r="D957" s="98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98"/>
      <c r="D958" s="98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98"/>
      <c r="D959" s="98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98"/>
      <c r="D960" s="98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98"/>
      <c r="D961" s="98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98"/>
      <c r="D962" s="98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98"/>
      <c r="D963" s="98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98"/>
      <c r="D964" s="98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9"/>
      <c r="B965" s="9"/>
      <c r="C965" s="98"/>
      <c r="D965" s="98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9"/>
      <c r="B966" s="9"/>
      <c r="C966" s="98"/>
      <c r="D966" s="98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9"/>
      <c r="B967" s="9"/>
      <c r="C967" s="98"/>
      <c r="D967" s="98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9"/>
      <c r="B968" s="9"/>
      <c r="C968" s="98"/>
      <c r="D968" s="98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9"/>
      <c r="B969" s="9"/>
      <c r="C969" s="98"/>
      <c r="D969" s="98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9"/>
      <c r="B970" s="9"/>
      <c r="C970" s="98"/>
      <c r="D970" s="98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9"/>
      <c r="B971" s="9"/>
      <c r="C971" s="98"/>
      <c r="D971" s="98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9"/>
      <c r="B972" s="9"/>
      <c r="C972" s="98"/>
      <c r="D972" s="98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9"/>
      <c r="B973" s="9"/>
      <c r="C973" s="98"/>
      <c r="D973" s="98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9"/>
      <c r="B974" s="9"/>
      <c r="C974" s="98"/>
      <c r="D974" s="98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9"/>
      <c r="B975" s="9"/>
      <c r="C975" s="98"/>
      <c r="D975" s="98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9"/>
      <c r="B976" s="9"/>
      <c r="C976" s="98"/>
      <c r="D976" s="98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9"/>
      <c r="B977" s="9"/>
      <c r="C977" s="98"/>
      <c r="D977" s="98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9"/>
      <c r="B978" s="9"/>
      <c r="C978" s="98"/>
      <c r="D978" s="98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9"/>
      <c r="B979" s="9"/>
      <c r="C979" s="98"/>
      <c r="D979" s="98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9"/>
      <c r="B980" s="9"/>
      <c r="C980" s="98"/>
      <c r="D980" s="98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9"/>
      <c r="B981" s="9"/>
      <c r="C981" s="98"/>
      <c r="D981" s="98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9"/>
      <c r="B982" s="9"/>
      <c r="C982" s="98"/>
      <c r="D982" s="98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9"/>
      <c r="B983" s="9"/>
      <c r="C983" s="98"/>
      <c r="D983" s="98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9"/>
      <c r="B984" s="9"/>
      <c r="C984" s="98"/>
      <c r="D984" s="98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9"/>
      <c r="B985" s="9"/>
      <c r="C985" s="98"/>
      <c r="D985" s="98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9"/>
      <c r="B986" s="9"/>
      <c r="C986" s="98"/>
      <c r="D986" s="98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9"/>
      <c r="B987" s="9"/>
      <c r="C987" s="98"/>
      <c r="D987" s="98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9"/>
      <c r="B988" s="9"/>
      <c r="C988" s="98"/>
      <c r="D988" s="98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9"/>
      <c r="B989" s="9"/>
      <c r="C989" s="98"/>
      <c r="D989" s="98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9"/>
      <c r="B990" s="9"/>
      <c r="C990" s="98"/>
      <c r="D990" s="98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9"/>
      <c r="B991" s="9"/>
      <c r="C991" s="98"/>
      <c r="D991" s="98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9"/>
      <c r="B992" s="9"/>
      <c r="C992" s="98"/>
      <c r="D992" s="98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9"/>
      <c r="B993" s="9"/>
      <c r="C993" s="98"/>
      <c r="D993" s="98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9"/>
      <c r="B994" s="9"/>
      <c r="C994" s="98"/>
      <c r="D994" s="98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9"/>
      <c r="B995" s="9"/>
      <c r="C995" s="98"/>
      <c r="D995" s="98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9"/>
      <c r="B996" s="9"/>
      <c r="C996" s="98"/>
      <c r="D996" s="98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9"/>
      <c r="B997" s="9"/>
      <c r="C997" s="98"/>
      <c r="D997" s="98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9"/>
      <c r="B998" s="9"/>
      <c r="C998" s="98"/>
      <c r="D998" s="98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>
      <c r="A999" s="9"/>
      <c r="B999" s="9"/>
      <c r="C999" s="98"/>
      <c r="D999" s="98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>
      <c r="A1000" s="9"/>
      <c r="B1000" s="9"/>
      <c r="C1000" s="98"/>
      <c r="D1000" s="98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>
      <c r="A1001" s="9"/>
      <c r="B1001" s="9"/>
      <c r="C1001" s="98"/>
      <c r="D1001" s="98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>
      <c r="A1002" s="9"/>
      <c r="B1002" s="9"/>
      <c r="C1002" s="98"/>
      <c r="D1002" s="98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>
      <c r="A1003" s="9"/>
      <c r="B1003" s="9"/>
      <c r="C1003" s="98"/>
      <c r="D1003" s="98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>
      <c r="A1004" s="9"/>
      <c r="B1004" s="9"/>
      <c r="C1004" s="98"/>
      <c r="D1004" s="98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>
      <c r="A1005" s="9"/>
      <c r="B1005" s="9"/>
      <c r="C1005" s="98"/>
      <c r="D1005" s="98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</sheetData>
  <customSheetViews>
    <customSheetView guid="{B6689FFD-348C-48A2-867A-8FB718B89750}" filter="1" showAutoFilter="1">
      <autoFilter ref="$A$3:$D$25"/>
    </customSheetView>
  </customSheetViews>
  <drawing r:id="rId1"/>
  <tableParts count="1">
    <tablePart r:id="rId3"/>
  </tableParts>
</worksheet>
</file>