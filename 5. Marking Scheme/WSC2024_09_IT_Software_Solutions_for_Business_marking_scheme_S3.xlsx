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B999CD-3E48-42D0-89AE-34A662F599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IS Marking Scheme Import" sheetId="1" r:id="rId1"/>
    <sheet name="Calculations" sheetId="6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56" i="1" l="1"/>
  <c r="N30" i="1"/>
  <c r="N25" i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N70" i="1" l="1"/>
  <c r="K11" i="1"/>
</calcChain>
</file>

<file path=xl/sharedStrings.xml><?xml version="1.0" encoding="utf-8"?>
<sst xmlns="http://schemas.openxmlformats.org/spreadsheetml/2006/main" count="414" uniqueCount="109">
  <si>
    <t>Mark</t>
  </si>
  <si>
    <t>Aspect - Description</t>
  </si>
  <si>
    <t>Judg Score</t>
  </si>
  <si>
    <t>Max
Mark</t>
  </si>
  <si>
    <t>Total
Mark</t>
  </si>
  <si>
    <t>Competition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</si>
  <si>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</si>
  <si>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</si>
  <si>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</si>
  <si>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</si>
  <si>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</si>
  <si>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</si>
  <si>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Section</t>
  </si>
  <si>
    <t>Name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</si>
  <si>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</si>
  <si>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</si>
  <si>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</si>
  <si>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</si>
  <si>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</si>
  <si>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</si>
  <si>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</si>
  <si>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WorldSkills Occupational Standards</t>
  </si>
  <si>
    <t>WSOS Marks</t>
  </si>
  <si>
    <t>WSOS Section</t>
  </si>
  <si>
    <t>09 IT Software Solutions for Business</t>
  </si>
  <si>
    <t>Development of software solutions</t>
  </si>
  <si>
    <t>Testing software solutions</t>
  </si>
  <si>
    <t>Analysis and design of software solutions</t>
  </si>
  <si>
    <t>Problem solving, innovation, and creativity</t>
  </si>
  <si>
    <t>Communication and interpersonal skills</t>
  </si>
  <si>
    <t>Work organization and management</t>
  </si>
  <si>
    <t>A</t>
  </si>
  <si>
    <t>B</t>
  </si>
  <si>
    <t>C</t>
  </si>
  <si>
    <t>D</t>
  </si>
  <si>
    <t>Analysing and designing software solutions</t>
  </si>
  <si>
    <t>E</t>
  </si>
  <si>
    <t>Developing software solutions</t>
  </si>
  <si>
    <t>F</t>
  </si>
  <si>
    <t/>
  </si>
  <si>
    <t>M</t>
  </si>
  <si>
    <t>2</t>
  </si>
  <si>
    <t>A3</t>
  </si>
  <si>
    <t>Session 3 - Work Organization and Management</t>
  </si>
  <si>
    <t>Overall session management: Timely submission of all deliverables</t>
  </si>
  <si>
    <t>Deduct 0.2 if any deliverable is missing or submitted after the 210-minute time limit</t>
  </si>
  <si>
    <t>Criterion E</t>
  </si>
  <si>
    <t>E2</t>
  </si>
  <si>
    <t>Session 3 - Database Setup, API Development, and UI Implementation</t>
  </si>
  <si>
    <t>Task 3.1 - Database Setup and Data Import: Correct creation of BelleCroissantLyonnais database</t>
  </si>
  <si>
    <t>Deduct 0.1 if database is not created or named incorrectly</t>
  </si>
  <si>
    <t>Task 3.1 - Database Setup and Data Import: Successful execution of Database_Schema.sql script</t>
  </si>
  <si>
    <t>Deduct 0.2 if script execution fails or tables are not created correctly</t>
  </si>
  <si>
    <t>Task 3.1 - Database Setup and Data Import: Accurate import of data from CSV files</t>
  </si>
  <si>
    <t>Deduct 0.05 for each CSV file not imported correctly (up to 0.2)</t>
  </si>
  <si>
    <t>Task 3.1 - Database Setup and Data Import: Correct data types in imported data</t>
  </si>
  <si>
    <t>Deduct 0.025 for each table with incorrect data types (up to 0.1)</t>
  </si>
  <si>
    <t>Task 3.1 - Database Setup and Data Import: Provision of correct database credentials in Session3_DatabaseCredentials.txt</t>
  </si>
  <si>
    <t>Deduct 0.1 if credentials are missing or incorrect</t>
  </si>
  <si>
    <t>Task 3.2 - Backend API Development: Implementation of Products endpoints</t>
  </si>
  <si>
    <t>Deduct 0.02 for each missing or incorrect Products endpoint (up to 0.1)</t>
  </si>
  <si>
    <t>Task 3.2 - Backend API Development: Implementation of Customers endpoints</t>
  </si>
  <si>
    <t>Task 3.2 - Backend API Development: Implementation of Orders endpoints</t>
  </si>
  <si>
    <t>Deduct 0.04 for each missing or incorrect Orders endpoint (up to 0.2)</t>
  </si>
  <si>
    <t>Task 3.2 - Backend API Development: Proper data validation implementation</t>
  </si>
  <si>
    <t>Deduct 0.2 if data validation is not implemented or is incorrect</t>
  </si>
  <si>
    <t>Task 3.2 - Backend API Development: Correct error handling implementation</t>
  </si>
  <si>
    <t>Deduct 0.2 if error handling is not implemented or is incorrect</t>
  </si>
  <si>
    <t>Task 3.2 - Backend API Development: Successful implementation of Basic Authentication</t>
  </si>
  <si>
    <t>Deduct 0.3 if authentication is not implemented or is incorrect</t>
  </si>
  <si>
    <t>Task 3.2 - Backend API Development: Correct API documentation in Session3_API_Endpoints.txt</t>
  </si>
  <si>
    <t>Deduct 0.5 if documentation is missing or incomplete</t>
  </si>
  <si>
    <t>Task 3.3 - UI Development - Product Management: Correct implementation of product listing table</t>
  </si>
  <si>
    <t>Deduct 0.04 for each missing or incorrect column (up to 0.2)</t>
  </si>
  <si>
    <t>Task 3.3 - UI Development - Product Management: Implementation of sorting functionality</t>
  </si>
  <si>
    <t>Deduct 0.2 if sorting is not implemented or is incorrect</t>
  </si>
  <si>
    <t>Task 3.3 - UI Development - Product Management: Implementation of search functionality</t>
  </si>
  <si>
    <t>Deduct 0.2 if search is not implemented or is incorrect</t>
  </si>
  <si>
    <t>Task 3.3 - UI Development - Product Management: Correct implementation of Add/Edit Product form</t>
  </si>
  <si>
    <t>Deduct 0.0125 for each missing or incorrect form field (up to 0.1)</t>
  </si>
  <si>
    <t>Task 3.3 - UI Development - Product Management: Implementation of form validation</t>
  </si>
  <si>
    <t>Deduct 0.1 if form validation is not implemented or is incorrect</t>
  </si>
  <si>
    <t>Task 3.3 - UI Development - Product Management: Correct API integration for adding/editing products</t>
  </si>
  <si>
    <t>Task 3.3 - UI Development - Product Management: Implementation of delete product functionality</t>
  </si>
  <si>
    <t>Task 3.4 - UI Development - Order Management: Correct implementation of order listing table</t>
  </si>
  <si>
    <t>Deduct 0.02 for each missing or incorrect column (up to 0.1)</t>
  </si>
  <si>
    <t>Task 3.4 - UI Development - Order Management: Implementation of sorting functionality</t>
  </si>
  <si>
    <t>Task 3.4 - UI Development - Order Management: Implementation of search functionality</t>
  </si>
  <si>
    <t>Task 3.4 - UI Development - Order Management: Correct implementation of Order Details view</t>
  </si>
  <si>
    <t>Deduct 0.05 for each missing or incorrect detail (up to 0.3)</t>
  </si>
  <si>
    <t>Task 3.4 - UI Development - Order Management: Implementation of order status update functionality</t>
  </si>
  <si>
    <t>Deduct 0.3 if status update is not implemented or is incorrect</t>
  </si>
  <si>
    <t>Criterion F</t>
  </si>
  <si>
    <t>F1</t>
  </si>
  <si>
    <t>Session 3 - Unit Testing and Quality Assurance</t>
  </si>
  <si>
    <t>Task 3.5 - Test Deliverables: Correct file naming and structure</t>
  </si>
  <si>
    <t>Task 3.5 - Test Deliverables: Inclusion of all necessary files</t>
  </si>
  <si>
    <t>Add 0.2 if unit tests for BakeryItem properties are correct</t>
  </si>
  <si>
    <t>Add 0.3 if unit tests for IsExpired method are correct</t>
  </si>
  <si>
    <t>Add 0.5 if unit tests for AddItem method are correct</t>
  </si>
  <si>
    <t>Add 0.5 if unit tests for RemoveItems method are correct</t>
  </si>
  <si>
    <t>Add 0.5 if unit tests for GetTotalValue method are correct</t>
  </si>
  <si>
    <t>Add 0.5 if critical paths are identified and tested</t>
  </si>
  <si>
    <t>Add 0.2 if all execution paths are covered</t>
  </si>
  <si>
    <t>Add 0.3 if BakeryInventoryTesting.zip is correctly named and structured</t>
  </si>
  <si>
    <t>Add 0.3 if all class files and testing project files are included</t>
  </si>
  <si>
    <t>Task 3.5 - Unit Tests: BakeryItem Class</t>
  </si>
  <si>
    <t>Task 3.5 - Unit Tests: BakeryInventory Class</t>
  </si>
  <si>
    <t>Task 3.5 - White Box Testing: Critical path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</si>
</sst>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0" fillId="4" borderId="10" xfId="0" applyFill="1" applyBorder="1"/>
    <xf numFmtId="0" fontId="9" fillId="0" borderId="8" xfId="0" applyFont="1" applyBorder="1" applyAlignment="1">
      <alignment horizontal="left" vertical="center"/>
    </xf>
    <xf numFmtId="0" fontId="0" fillId="4" borderId="11" xfId="0" applyFill="1" applyBorder="1"/>
    <xf numFmtId="0" fontId="0" fillId="4" borderId="12" xfId="0" applyFill="1" applyBorder="1"/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2" fontId="9" fillId="0" borderId="0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="90" zoomScaleNormal="90" workbookViewId="0">
      <selection activeCell="E70" sqref="E70"/>
    </sheetView>
  </sheetViews>
  <sheetFormatPr defaultColWidth="8.7109375" defaultRowHeight="12.75" x14ac:dyDescent="0.2"/>
  <cols>
    <col min="1" max="1" width="7.7109375" customWidth="1"/>
    <col min="2" max="2" width="39" customWidth="1"/>
    <col min="3" max="3" width="7.7109375" customWidth="1"/>
    <col min="4" max="4" width="8.42578125" customWidth="1"/>
    <col min="5" max="5" width="52.140625" customWidth="1"/>
    <col min="6" max="6" width="8" customWidth="1"/>
    <col min="7" max="7" width="46.7109375" customWidth="1"/>
    <col min="8" max="8" width="15.42578125" customWidth="1"/>
    <col min="9" max="9" width="11.28515625" customWidth="1"/>
    <col min="10" max="10" width="11" customWidth="1"/>
    <col min="11" max="11" width="10.7109375" customWidth="1"/>
    <col min="12" max="12" width="18.42578125" customWidth="1"/>
    <col min="14" max="14" width="10.7109375" bestFit="1" customWidth="1"/>
  </cols>
  <sheetData>
    <row r="1" spans="1:11" ht="49.15" customHeight="1" thickBot="1" x14ac:dyDescent="0.25">
      <c r="A1" s="36" t="s">
        <v>24</v>
      </c>
      <c r="B1" s="37"/>
      <c r="C1" s="37"/>
      <c r="D1" s="37"/>
      <c r="E1" s="37"/>
      <c r="F1" s="37"/>
      <c r="G1" s="37"/>
      <c r="H1" s="37"/>
      <c r="I1" s="37"/>
      <c r="J1" s="37"/>
      <c r="K1" s="38"/>
    </row>
    <row r="2" spans="1:11" ht="36" customHeight="1" thickBot="1" x14ac:dyDescent="0.25">
      <c r="C2" s="1"/>
      <c r="E2" s="1"/>
      <c r="J2" s="1"/>
    </row>
    <row r="3" spans="1:11" ht="34.9" customHeight="1" thickBot="1" x14ac:dyDescent="0.25">
      <c r="A3" s="25" t="s">
        <v>21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34.9" customHeight="1" thickBot="1" x14ac:dyDescent="0.25">
      <c r="A4" s="9" t="s">
        <v>12</v>
      </c>
      <c r="B4" s="33" t="s">
        <v>22</v>
      </c>
      <c r="C4" s="34"/>
      <c r="D4" s="34"/>
      <c r="E4" s="34"/>
      <c r="F4" s="34"/>
      <c r="G4" s="34"/>
      <c r="H4" s="35"/>
      <c r="I4" s="10" t="s">
        <v>22</v>
      </c>
      <c r="J4" s="10" t="s">
        <v>14</v>
      </c>
      <c r="K4" s="10" t="s">
        <v>18</v>
      </c>
    </row>
    <row r="5" spans="1:11" ht="25.15" customHeight="1" x14ac:dyDescent="0.2">
      <c r="A5" s="13">
        <v>1</v>
      </c>
      <c r="B5" s="19" t="s">
        <v>25</v>
      </c>
      <c r="C5" s="20"/>
      <c r="D5" s="20"/>
      <c r="E5" s="20"/>
      <c r="F5" s="20"/>
      <c r="G5" s="20"/>
      <c r="H5" s="21"/>
      <c r="I5" s="15">
        <v>40</v>
      </c>
      <c r="J5" s="14">
        <f>SUMIF(I26:I69, A5, K26:K69)</f>
        <v>8.4</v>
      </c>
      <c r="K5" s="14">
        <f t="shared" ref="K5:K10" si="0">ABS(I5-J5)</f>
        <v>31.6</v>
      </c>
    </row>
    <row r="6" spans="1:11" ht="25.15" customHeight="1" x14ac:dyDescent="0.2">
      <c r="A6" s="13">
        <v>2</v>
      </c>
      <c r="B6" s="19" t="s">
        <v>26</v>
      </c>
      <c r="C6" s="20"/>
      <c r="D6" s="20"/>
      <c r="E6" s="20"/>
      <c r="F6" s="20"/>
      <c r="G6" s="20"/>
      <c r="H6" s="21"/>
      <c r="I6" s="15">
        <v>10</v>
      </c>
      <c r="J6" s="14">
        <f>SUMIF(I26:I69, A6, K26:K69)</f>
        <v>3.0999999999999996</v>
      </c>
      <c r="K6" s="14">
        <f t="shared" si="0"/>
        <v>6.9</v>
      </c>
    </row>
    <row r="7" spans="1:11" ht="25.15" customHeight="1" x14ac:dyDescent="0.2">
      <c r="A7" s="13">
        <v>3</v>
      </c>
      <c r="B7" s="19" t="s">
        <v>27</v>
      </c>
      <c r="C7" s="20"/>
      <c r="D7" s="20"/>
      <c r="E7" s="20"/>
      <c r="F7" s="20"/>
      <c r="G7" s="20"/>
      <c r="H7" s="21"/>
      <c r="I7" s="15">
        <v>30</v>
      </c>
      <c r="J7" s="14">
        <f>SUMIF(I26:I69, A7, K26:K69)</f>
        <v>0</v>
      </c>
      <c r="K7" s="14">
        <f t="shared" si="0"/>
        <v>30</v>
      </c>
    </row>
    <row r="8" spans="1:11" ht="25.15" customHeight="1" x14ac:dyDescent="0.2">
      <c r="A8" s="13">
        <v>4</v>
      </c>
      <c r="B8" s="19" t="s">
        <v>28</v>
      </c>
      <c r="C8" s="20"/>
      <c r="D8" s="20"/>
      <c r="E8" s="20"/>
      <c r="F8" s="20"/>
      <c r="G8" s="20"/>
      <c r="H8" s="21"/>
      <c r="I8" s="15">
        <v>10</v>
      </c>
      <c r="J8" s="14">
        <f>SUMIF(I26:I69, A8, K26:K69)</f>
        <v>0</v>
      </c>
      <c r="K8" s="14">
        <f t="shared" si="0"/>
        <v>10</v>
      </c>
    </row>
    <row r="9" spans="1:11" ht="25.15" customHeight="1" x14ac:dyDescent="0.2">
      <c r="A9" s="13">
        <v>5</v>
      </c>
      <c r="B9" s="19" t="s">
        <v>29</v>
      </c>
      <c r="C9" s="20"/>
      <c r="D9" s="20"/>
      <c r="E9" s="20"/>
      <c r="F9" s="20"/>
      <c r="G9" s="20"/>
      <c r="H9" s="21"/>
      <c r="I9" s="15">
        <v>5</v>
      </c>
      <c r="J9" s="14">
        <f>SUMIF(I26:I69, A9, K26:K69)</f>
        <v>0</v>
      </c>
      <c r="K9" s="14">
        <f t="shared" si="0"/>
        <v>5</v>
      </c>
    </row>
    <row r="10" spans="1:11" ht="25.15" customHeight="1" x14ac:dyDescent="0.2">
      <c r="A10" s="17">
        <v>6</v>
      </c>
      <c r="B10" s="22" t="s">
        <v>30</v>
      </c>
      <c r="C10" s="23"/>
      <c r="D10" s="23"/>
      <c r="E10" s="23"/>
      <c r="F10" s="23"/>
      <c r="G10" s="23"/>
      <c r="H10" s="24"/>
      <c r="I10" s="18">
        <v>5</v>
      </c>
      <c r="J10" s="18">
        <f>SUMIF(I26:I69, A10, K26:K69)</f>
        <v>0.5</v>
      </c>
      <c r="K10" s="18">
        <f t="shared" si="0"/>
        <v>4.5</v>
      </c>
    </row>
    <row r="11" spans="1:11" ht="25.15" customHeight="1" thickBot="1" x14ac:dyDescent="0.25">
      <c r="C11" s="1"/>
      <c r="E11" s="1"/>
      <c r="I11" s="31" t="s">
        <v>20</v>
      </c>
      <c r="J11" s="32"/>
      <c r="K11" s="18">
        <f>SUM(K5:K10)</f>
        <v>88</v>
      </c>
    </row>
    <row r="12" spans="1:11" ht="19.899999999999999" customHeight="1" x14ac:dyDescent="0.2">
      <c r="C12" s="1"/>
      <c r="E12" s="1"/>
      <c r="I12" s="11"/>
      <c r="J12" s="11"/>
    </row>
    <row r="13" spans="1:11" ht="19.899999999999999" customHeight="1" thickBot="1" x14ac:dyDescent="0.25">
      <c r="C13" s="1"/>
      <c r="E13" s="1"/>
      <c r="I13" s="11"/>
      <c r="J13" s="1"/>
    </row>
    <row r="14" spans="1:11" ht="34.9" customHeight="1" thickBot="1" x14ac:dyDescent="0.25">
      <c r="A14" s="25" t="s">
        <v>17</v>
      </c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34.9" customHeight="1" thickBot="1" x14ac:dyDescent="0.25">
      <c r="A15" s="9" t="s">
        <v>19</v>
      </c>
      <c r="B15" s="28" t="s">
        <v>13</v>
      </c>
      <c r="C15" s="29"/>
      <c r="D15" s="29"/>
      <c r="E15" s="29"/>
      <c r="F15" s="29"/>
      <c r="G15" s="29"/>
      <c r="H15" s="29"/>
      <c r="I15" s="29"/>
      <c r="J15" s="30"/>
      <c r="K15" s="9" t="s">
        <v>0</v>
      </c>
    </row>
    <row r="16" spans="1:11" ht="25.15" customHeight="1" x14ac:dyDescent="0.2">
      <c r="A16" s="13" t="s">
        <v>31</v>
      </c>
      <c r="B16" s="19" t="s">
        <v>30</v>
      </c>
      <c r="C16" s="20"/>
      <c r="D16" s="20"/>
      <c r="E16" s="20"/>
      <c r="F16" s="20"/>
      <c r="G16" s="20"/>
      <c r="H16" s="20"/>
      <c r="I16" s="20"/>
      <c r="J16" s="21"/>
      <c r="K16" s="15">
        <v>5</v>
      </c>
    </row>
    <row r="17" spans="1:14" ht="25.15" customHeight="1" x14ac:dyDescent="0.2">
      <c r="A17" s="13" t="s">
        <v>32</v>
      </c>
      <c r="B17" s="19" t="s">
        <v>29</v>
      </c>
      <c r="C17" s="20"/>
      <c r="D17" s="20"/>
      <c r="E17" s="20"/>
      <c r="F17" s="20"/>
      <c r="G17" s="20"/>
      <c r="H17" s="20"/>
      <c r="I17" s="20"/>
      <c r="J17" s="21"/>
      <c r="K17" s="15">
        <v>5</v>
      </c>
    </row>
    <row r="18" spans="1:14" ht="25.15" customHeight="1" x14ac:dyDescent="0.2">
      <c r="A18" s="13" t="s">
        <v>33</v>
      </c>
      <c r="B18" s="19" t="s">
        <v>28</v>
      </c>
      <c r="C18" s="20"/>
      <c r="D18" s="20"/>
      <c r="E18" s="20"/>
      <c r="F18" s="20"/>
      <c r="G18" s="20"/>
      <c r="H18" s="20"/>
      <c r="I18" s="20"/>
      <c r="J18" s="21"/>
      <c r="K18" s="15">
        <v>10</v>
      </c>
    </row>
    <row r="19" spans="1:14" ht="25.15" customHeight="1" x14ac:dyDescent="0.2">
      <c r="A19" s="13" t="s">
        <v>34</v>
      </c>
      <c r="B19" s="19" t="s">
        <v>35</v>
      </c>
      <c r="C19" s="20"/>
      <c r="D19" s="20"/>
      <c r="E19" s="20"/>
      <c r="F19" s="20"/>
      <c r="G19" s="20"/>
      <c r="H19" s="20"/>
      <c r="I19" s="20"/>
      <c r="J19" s="21"/>
      <c r="K19" s="15">
        <v>30</v>
      </c>
    </row>
    <row r="20" spans="1:14" ht="25.15" customHeight="1" x14ac:dyDescent="0.2">
      <c r="A20" s="13" t="s">
        <v>36</v>
      </c>
      <c r="B20" s="19" t="s">
        <v>37</v>
      </c>
      <c r="C20" s="20"/>
      <c r="D20" s="20"/>
      <c r="E20" s="20"/>
      <c r="F20" s="20"/>
      <c r="G20" s="20"/>
      <c r="H20" s="20"/>
      <c r="I20" s="20"/>
      <c r="J20" s="21"/>
      <c r="K20" s="15">
        <v>40</v>
      </c>
    </row>
    <row r="21" spans="1:14" ht="25.15" customHeight="1" x14ac:dyDescent="0.2">
      <c r="A21" s="13" t="s">
        <v>38</v>
      </c>
      <c r="B21" s="19" t="s">
        <v>26</v>
      </c>
      <c r="C21" s="20"/>
      <c r="D21" s="20"/>
      <c r="E21" s="20"/>
      <c r="F21" s="20"/>
      <c r="G21" s="20"/>
      <c r="H21" s="20"/>
      <c r="I21" s="20"/>
      <c r="J21" s="21"/>
      <c r="K21" s="15">
        <v>10</v>
      </c>
    </row>
    <row r="22" spans="1:14" ht="25.15" customHeight="1" thickBot="1" x14ac:dyDescent="0.25">
      <c r="A22" s="17"/>
      <c r="B22" s="22"/>
      <c r="C22" s="23"/>
      <c r="D22" s="23"/>
      <c r="E22" s="23"/>
      <c r="F22" s="23"/>
      <c r="G22" s="23"/>
      <c r="H22" s="23"/>
      <c r="I22" s="23"/>
      <c r="J22" s="24"/>
      <c r="K22" s="18"/>
    </row>
    <row r="23" spans="1:14" ht="19.899999999999999" customHeight="1" x14ac:dyDescent="0.2">
      <c r="F23" s="7"/>
      <c r="G23" s="8"/>
      <c r="H23" s="8"/>
      <c r="I23" s="8"/>
      <c r="J23" s="2"/>
    </row>
    <row r="24" spans="1:14" ht="19.899999999999999" customHeight="1" thickBot="1" x14ac:dyDescent="0.25">
      <c r="C24" s="2"/>
      <c r="H24" s="2"/>
      <c r="I24" s="2"/>
      <c r="J24" s="2"/>
    </row>
    <row r="25" spans="1:14" ht="64.5" thickBot="1" x14ac:dyDescent="0.25">
      <c r="A25" s="3" t="s">
        <v>15</v>
      </c>
      <c r="B25" s="3" t="s">
        <v>16</v>
      </c>
      <c r="C25" s="3" t="s">
        <v>10</v>
      </c>
      <c r="D25" s="3" t="s">
        <v>6</v>
      </c>
      <c r="E25" s="3" t="s">
        <v>1</v>
      </c>
      <c r="F25" s="3" t="s">
        <v>2</v>
      </c>
      <c r="G25" s="3" t="s">
        <v>8</v>
      </c>
      <c r="H25" s="3" t="s">
        <v>9</v>
      </c>
      <c r="I25" s="3" t="s">
        <v>23</v>
      </c>
      <c r="J25" s="3" t="s">
        <v>11</v>
      </c>
      <c r="K25" s="3" t="s">
        <v>3</v>
      </c>
      <c r="L25" s="4" t="s">
        <v>7</v>
      </c>
      <c r="M25" s="5" t="s">
        <v>4</v>
      </c>
      <c r="N25" s="6">
        <f>SUM(K26:K27)</f>
        <v>0.5</v>
      </c>
    </row>
    <row r="26" spans="1:14" x14ac:dyDescent="0.2">
      <c r="A26" s="13" t="s">
        <v>42</v>
      </c>
      <c r="B26" s="12" t="s">
        <v>43</v>
      </c>
      <c r="C26" s="13" t="s">
        <v>41</v>
      </c>
      <c r="D26" s="12" t="s">
        <v>39</v>
      </c>
      <c r="E26" s="12" t="s">
        <v>39</v>
      </c>
      <c r="F26" s="12" t="s">
        <v>39</v>
      </c>
      <c r="G26" s="12" t="s">
        <v>39</v>
      </c>
      <c r="H26" s="12" t="s">
        <v>39</v>
      </c>
      <c r="I26" s="12" t="s">
        <v>39</v>
      </c>
      <c r="J26" s="12" t="s">
        <v>39</v>
      </c>
      <c r="K26" s="12" t="s">
        <v>39</v>
      </c>
      <c r="N26" s="2"/>
    </row>
    <row r="27" spans="1:14" x14ac:dyDescent="0.2">
      <c r="A27" s="13" t="s">
        <v>39</v>
      </c>
      <c r="B27" s="12" t="s">
        <v>39</v>
      </c>
      <c r="C27" s="13" t="s">
        <v>39</v>
      </c>
      <c r="D27" s="13" t="s">
        <v>40</v>
      </c>
      <c r="E27" s="12" t="s">
        <v>44</v>
      </c>
      <c r="F27" s="13" t="s">
        <v>39</v>
      </c>
      <c r="G27" s="12" t="s">
        <v>45</v>
      </c>
      <c r="H27" s="12" t="s">
        <v>39</v>
      </c>
      <c r="I27" s="13">
        <v>6</v>
      </c>
      <c r="J27" s="13"/>
      <c r="K27" s="40">
        <v>0.5</v>
      </c>
      <c r="L27" s="39"/>
    </row>
    <row r="28" spans="1:14" x14ac:dyDescent="0.2">
      <c r="A28" s="13" t="s">
        <v>39</v>
      </c>
      <c r="B28" s="12" t="s">
        <v>39</v>
      </c>
      <c r="C28" s="13" t="s">
        <v>39</v>
      </c>
      <c r="D28" s="13" t="s">
        <v>39</v>
      </c>
      <c r="E28" s="12" t="s">
        <v>39</v>
      </c>
      <c r="F28" s="13" t="s">
        <v>39</v>
      </c>
      <c r="G28" s="12" t="s">
        <v>39</v>
      </c>
      <c r="H28" s="12" t="s">
        <v>39</v>
      </c>
      <c r="I28" s="13"/>
      <c r="J28" s="13"/>
      <c r="K28" s="15"/>
    </row>
    <row r="29" spans="1:14" ht="13.5" thickBot="1" x14ac:dyDescent="0.25">
      <c r="A29" s="13" t="s">
        <v>39</v>
      </c>
      <c r="B29" s="12" t="s">
        <v>39</v>
      </c>
      <c r="C29" s="13" t="s">
        <v>39</v>
      </c>
      <c r="D29" s="13" t="s">
        <v>39</v>
      </c>
      <c r="E29" s="12" t="s">
        <v>39</v>
      </c>
      <c r="F29" s="13" t="s">
        <v>39</v>
      </c>
      <c r="G29" s="12" t="s">
        <v>39</v>
      </c>
      <c r="H29" s="12" t="s">
        <v>39</v>
      </c>
      <c r="I29" s="13"/>
      <c r="J29" s="13"/>
      <c r="K29" s="15"/>
    </row>
    <row r="30" spans="1:14" ht="64.5" thickBot="1" x14ac:dyDescent="0.25">
      <c r="A30" s="3" t="s">
        <v>15</v>
      </c>
      <c r="B30" s="3" t="s">
        <v>16</v>
      </c>
      <c r="C30" s="3" t="s">
        <v>10</v>
      </c>
      <c r="D30" s="3" t="s">
        <v>6</v>
      </c>
      <c r="E30" s="3" t="s">
        <v>1</v>
      </c>
      <c r="F30" s="3" t="s">
        <v>2</v>
      </c>
      <c r="G30" s="3" t="s">
        <v>8</v>
      </c>
      <c r="H30" s="3" t="s">
        <v>9</v>
      </c>
      <c r="I30" s="3" t="s">
        <v>23</v>
      </c>
      <c r="J30" s="3" t="s">
        <v>11</v>
      </c>
      <c r="K30" s="3" t="s">
        <v>3</v>
      </c>
      <c r="L30" s="4" t="s">
        <v>46</v>
      </c>
      <c r="M30" s="5" t="s">
        <v>4</v>
      </c>
      <c r="N30" s="6">
        <f>SUM(K31:K55)</f>
        <v>8.4</v>
      </c>
    </row>
    <row r="31" spans="1:14" x14ac:dyDescent="0.2">
      <c r="A31" s="13" t="s">
        <v>47</v>
      </c>
      <c r="B31" s="12" t="s">
        <v>48</v>
      </c>
      <c r="C31" s="13" t="s">
        <v>41</v>
      </c>
      <c r="D31" s="12" t="s">
        <v>39</v>
      </c>
      <c r="E31" s="12" t="s">
        <v>39</v>
      </c>
      <c r="F31" s="12" t="s">
        <v>39</v>
      </c>
      <c r="G31" s="12" t="s">
        <v>39</v>
      </c>
      <c r="H31" s="12" t="s">
        <v>39</v>
      </c>
      <c r="I31" s="12" t="s">
        <v>39</v>
      </c>
      <c r="J31" s="12" t="s">
        <v>39</v>
      </c>
      <c r="K31" s="12" t="s">
        <v>39</v>
      </c>
      <c r="N31" s="2"/>
    </row>
    <row r="32" spans="1:14" x14ac:dyDescent="0.2">
      <c r="A32" s="13" t="s">
        <v>39</v>
      </c>
      <c r="B32" s="12" t="s">
        <v>39</v>
      </c>
      <c r="C32" s="13" t="s">
        <v>39</v>
      </c>
      <c r="D32" s="13" t="s">
        <v>40</v>
      </c>
      <c r="E32" s="12" t="s">
        <v>49</v>
      </c>
      <c r="F32" s="13" t="s">
        <v>39</v>
      </c>
      <c r="G32" s="12" t="s">
        <v>50</v>
      </c>
      <c r="H32" s="12" t="s">
        <v>39</v>
      </c>
      <c r="I32" s="13">
        <v>1</v>
      </c>
      <c r="J32" s="13"/>
      <c r="K32" s="15">
        <v>0.30000000000000004</v>
      </c>
      <c r="L32" s="2"/>
    </row>
    <row r="33" spans="1:12" x14ac:dyDescent="0.2">
      <c r="A33" s="13" t="s">
        <v>39</v>
      </c>
      <c r="B33" s="12" t="s">
        <v>39</v>
      </c>
      <c r="C33" s="13" t="s">
        <v>39</v>
      </c>
      <c r="D33" s="13" t="s">
        <v>40</v>
      </c>
      <c r="E33" s="12" t="s">
        <v>51</v>
      </c>
      <c r="F33" s="13" t="s">
        <v>39</v>
      </c>
      <c r="G33" s="12" t="s">
        <v>52</v>
      </c>
      <c r="H33" s="12" t="s">
        <v>39</v>
      </c>
      <c r="I33" s="13">
        <v>1</v>
      </c>
      <c r="J33" s="13"/>
      <c r="K33" s="15">
        <v>0.30000000000000004</v>
      </c>
      <c r="L33" s="2"/>
    </row>
    <row r="34" spans="1:12" x14ac:dyDescent="0.2">
      <c r="A34" s="13" t="s">
        <v>39</v>
      </c>
      <c r="B34" s="12" t="s">
        <v>39</v>
      </c>
      <c r="C34" s="13" t="s">
        <v>39</v>
      </c>
      <c r="D34" s="13" t="s">
        <v>40</v>
      </c>
      <c r="E34" s="12" t="s">
        <v>53</v>
      </c>
      <c r="F34" s="13" t="s">
        <v>39</v>
      </c>
      <c r="G34" s="12" t="s">
        <v>54</v>
      </c>
      <c r="H34" s="12" t="s">
        <v>39</v>
      </c>
      <c r="I34" s="13">
        <v>1</v>
      </c>
      <c r="J34" s="13"/>
      <c r="K34" s="15">
        <v>0.30000000000000004</v>
      </c>
      <c r="L34" s="2"/>
    </row>
    <row r="35" spans="1:12" x14ac:dyDescent="0.2">
      <c r="A35" s="13" t="s">
        <v>39</v>
      </c>
      <c r="B35" s="12" t="s">
        <v>39</v>
      </c>
      <c r="C35" s="13" t="s">
        <v>39</v>
      </c>
      <c r="D35" s="13" t="s">
        <v>40</v>
      </c>
      <c r="E35" s="12" t="s">
        <v>55</v>
      </c>
      <c r="F35" s="13" t="s">
        <v>39</v>
      </c>
      <c r="G35" s="12" t="s">
        <v>56</v>
      </c>
      <c r="H35" s="12" t="s">
        <v>39</v>
      </c>
      <c r="I35" s="13">
        <v>1</v>
      </c>
      <c r="J35" s="13"/>
      <c r="K35" s="15">
        <v>0.30000000000000004</v>
      </c>
      <c r="L35" s="2"/>
    </row>
    <row r="36" spans="1:12" x14ac:dyDescent="0.2">
      <c r="A36" s="13" t="s">
        <v>39</v>
      </c>
      <c r="B36" s="12" t="s">
        <v>39</v>
      </c>
      <c r="C36" s="13" t="s">
        <v>39</v>
      </c>
      <c r="D36" s="13" t="s">
        <v>40</v>
      </c>
      <c r="E36" s="12" t="s">
        <v>57</v>
      </c>
      <c r="F36" s="13" t="s">
        <v>39</v>
      </c>
      <c r="G36" s="12" t="s">
        <v>58</v>
      </c>
      <c r="H36" s="12" t="s">
        <v>39</v>
      </c>
      <c r="I36" s="13">
        <v>1</v>
      </c>
      <c r="J36" s="13"/>
      <c r="K36" s="15">
        <v>0.30000000000000004</v>
      </c>
      <c r="L36" s="2"/>
    </row>
    <row r="37" spans="1:12" x14ac:dyDescent="0.2">
      <c r="A37" s="13" t="s">
        <v>39</v>
      </c>
      <c r="B37" s="12" t="s">
        <v>39</v>
      </c>
      <c r="C37" s="13" t="s">
        <v>39</v>
      </c>
      <c r="D37" s="13" t="s">
        <v>40</v>
      </c>
      <c r="E37" s="12" t="s">
        <v>59</v>
      </c>
      <c r="F37" s="13" t="s">
        <v>39</v>
      </c>
      <c r="G37" s="12" t="s">
        <v>60</v>
      </c>
      <c r="H37" s="12" t="s">
        <v>39</v>
      </c>
      <c r="I37" s="13">
        <v>1</v>
      </c>
      <c r="J37" s="13"/>
      <c r="K37" s="15">
        <v>0.30000000000000004</v>
      </c>
      <c r="L37" s="2"/>
    </row>
    <row r="38" spans="1:12" x14ac:dyDescent="0.2">
      <c r="A38" s="13" t="s">
        <v>39</v>
      </c>
      <c r="B38" s="12" t="s">
        <v>39</v>
      </c>
      <c r="C38" s="13" t="s">
        <v>39</v>
      </c>
      <c r="D38" s="13" t="s">
        <v>40</v>
      </c>
      <c r="E38" s="12" t="s">
        <v>61</v>
      </c>
      <c r="F38" s="13" t="s">
        <v>39</v>
      </c>
      <c r="G38" s="12" t="s">
        <v>39</v>
      </c>
      <c r="H38" s="12" t="s">
        <v>39</v>
      </c>
      <c r="I38" s="13">
        <v>1</v>
      </c>
      <c r="J38" s="13"/>
      <c r="K38" s="15">
        <v>0.30000000000000004</v>
      </c>
      <c r="L38" s="2"/>
    </row>
    <row r="39" spans="1:12" x14ac:dyDescent="0.2">
      <c r="A39" s="13" t="s">
        <v>39</v>
      </c>
      <c r="B39" s="12" t="s">
        <v>39</v>
      </c>
      <c r="C39" s="13" t="s">
        <v>39</v>
      </c>
      <c r="D39" s="13" t="s">
        <v>40</v>
      </c>
      <c r="E39" s="12" t="s">
        <v>62</v>
      </c>
      <c r="F39" s="13" t="s">
        <v>39</v>
      </c>
      <c r="G39" s="12" t="s">
        <v>63</v>
      </c>
      <c r="H39" s="12" t="s">
        <v>39</v>
      </c>
      <c r="I39" s="13">
        <v>1</v>
      </c>
      <c r="J39" s="13"/>
      <c r="K39" s="15">
        <v>0.4</v>
      </c>
      <c r="L39" s="2"/>
    </row>
    <row r="40" spans="1:12" x14ac:dyDescent="0.2">
      <c r="A40" s="13" t="s">
        <v>39</v>
      </c>
      <c r="B40" s="12" t="s">
        <v>39</v>
      </c>
      <c r="C40" s="13" t="s">
        <v>39</v>
      </c>
      <c r="D40" s="13" t="s">
        <v>40</v>
      </c>
      <c r="E40" s="12" t="s">
        <v>64</v>
      </c>
      <c r="F40" s="13" t="s">
        <v>39</v>
      </c>
      <c r="G40" s="12" t="s">
        <v>65</v>
      </c>
      <c r="H40" s="12" t="s">
        <v>39</v>
      </c>
      <c r="I40" s="13">
        <v>1</v>
      </c>
      <c r="J40" s="13"/>
      <c r="K40" s="15">
        <v>0.4</v>
      </c>
      <c r="L40" s="2"/>
    </row>
    <row r="41" spans="1:12" x14ac:dyDescent="0.2">
      <c r="A41" s="13" t="s">
        <v>39</v>
      </c>
      <c r="B41" s="12" t="s">
        <v>39</v>
      </c>
      <c r="C41" s="13" t="s">
        <v>39</v>
      </c>
      <c r="D41" s="13" t="s">
        <v>40</v>
      </c>
      <c r="E41" s="12" t="s">
        <v>66</v>
      </c>
      <c r="F41" s="13" t="s">
        <v>39</v>
      </c>
      <c r="G41" s="12" t="s">
        <v>67</v>
      </c>
      <c r="H41" s="12" t="s">
        <v>39</v>
      </c>
      <c r="I41" s="13">
        <v>1</v>
      </c>
      <c r="J41" s="13"/>
      <c r="K41" s="15">
        <v>0.4</v>
      </c>
      <c r="L41" s="2"/>
    </row>
    <row r="42" spans="1:12" x14ac:dyDescent="0.2">
      <c r="A42" s="13" t="s">
        <v>39</v>
      </c>
      <c r="B42" s="12" t="s">
        <v>39</v>
      </c>
      <c r="C42" s="13" t="s">
        <v>39</v>
      </c>
      <c r="D42" s="13" t="s">
        <v>40</v>
      </c>
      <c r="E42" s="12" t="s">
        <v>68</v>
      </c>
      <c r="F42" s="13" t="s">
        <v>39</v>
      </c>
      <c r="G42" s="12" t="s">
        <v>69</v>
      </c>
      <c r="H42" s="12" t="s">
        <v>39</v>
      </c>
      <c r="I42" s="13">
        <v>1</v>
      </c>
      <c r="J42" s="13"/>
      <c r="K42" s="15">
        <v>0.5</v>
      </c>
      <c r="L42" s="2"/>
    </row>
    <row r="43" spans="1:12" x14ac:dyDescent="0.2">
      <c r="A43" s="13" t="s">
        <v>39</v>
      </c>
      <c r="B43" s="12" t="s">
        <v>39</v>
      </c>
      <c r="C43" s="13" t="s">
        <v>39</v>
      </c>
      <c r="D43" s="13" t="s">
        <v>40</v>
      </c>
      <c r="E43" s="12" t="s">
        <v>70</v>
      </c>
      <c r="F43" s="13" t="s">
        <v>39</v>
      </c>
      <c r="G43" s="12" t="s">
        <v>71</v>
      </c>
      <c r="H43" s="12" t="s">
        <v>39</v>
      </c>
      <c r="I43" s="13">
        <v>1</v>
      </c>
      <c r="J43" s="13"/>
      <c r="K43" s="15">
        <v>0.7</v>
      </c>
      <c r="L43" s="2"/>
    </row>
    <row r="44" spans="1:12" x14ac:dyDescent="0.2">
      <c r="A44" s="13" t="s">
        <v>39</v>
      </c>
      <c r="B44" s="12" t="s">
        <v>39</v>
      </c>
      <c r="C44" s="13" t="s">
        <v>39</v>
      </c>
      <c r="D44" s="13" t="s">
        <v>40</v>
      </c>
      <c r="E44" s="12" t="s">
        <v>72</v>
      </c>
      <c r="F44" s="13" t="s">
        <v>39</v>
      </c>
      <c r="G44" s="12" t="s">
        <v>73</v>
      </c>
      <c r="H44" s="12" t="s">
        <v>39</v>
      </c>
      <c r="I44" s="13">
        <v>1</v>
      </c>
      <c r="J44" s="13"/>
      <c r="K44" s="15">
        <v>0.30000000000000004</v>
      </c>
      <c r="L44" s="2"/>
    </row>
    <row r="45" spans="1:12" x14ac:dyDescent="0.2">
      <c r="A45" s="13" t="s">
        <v>39</v>
      </c>
      <c r="B45" s="12" t="s">
        <v>39</v>
      </c>
      <c r="C45" s="13" t="s">
        <v>39</v>
      </c>
      <c r="D45" s="13" t="s">
        <v>40</v>
      </c>
      <c r="E45" s="12" t="s">
        <v>74</v>
      </c>
      <c r="F45" s="13" t="s">
        <v>39</v>
      </c>
      <c r="G45" s="12" t="s">
        <v>75</v>
      </c>
      <c r="H45" s="12" t="s">
        <v>39</v>
      </c>
      <c r="I45" s="13">
        <v>1</v>
      </c>
      <c r="J45" s="13"/>
      <c r="K45" s="15">
        <v>0.30000000000000004</v>
      </c>
      <c r="L45" s="2"/>
    </row>
    <row r="46" spans="1:12" x14ac:dyDescent="0.2">
      <c r="A46" s="13" t="s">
        <v>39</v>
      </c>
      <c r="B46" s="12" t="s">
        <v>39</v>
      </c>
      <c r="C46" s="13" t="s">
        <v>39</v>
      </c>
      <c r="D46" s="13" t="s">
        <v>40</v>
      </c>
      <c r="E46" s="12" t="s">
        <v>76</v>
      </c>
      <c r="F46" s="13" t="s">
        <v>39</v>
      </c>
      <c r="G46" s="12" t="s">
        <v>77</v>
      </c>
      <c r="H46" s="12" t="s">
        <v>39</v>
      </c>
      <c r="I46" s="13">
        <v>1</v>
      </c>
      <c r="J46" s="13"/>
      <c r="K46" s="15">
        <v>0.30000000000000004</v>
      </c>
      <c r="L46" s="2"/>
    </row>
    <row r="47" spans="1:12" x14ac:dyDescent="0.2">
      <c r="A47" s="13" t="s">
        <v>39</v>
      </c>
      <c r="B47" s="12" t="s">
        <v>39</v>
      </c>
      <c r="C47" s="13" t="s">
        <v>39</v>
      </c>
      <c r="D47" s="13" t="s">
        <v>40</v>
      </c>
      <c r="E47" s="12" t="s">
        <v>78</v>
      </c>
      <c r="F47" s="13" t="s">
        <v>39</v>
      </c>
      <c r="G47" s="12" t="s">
        <v>79</v>
      </c>
      <c r="H47" s="12" t="s">
        <v>39</v>
      </c>
      <c r="I47" s="13">
        <v>1</v>
      </c>
      <c r="J47" s="13"/>
      <c r="K47" s="15">
        <v>0.2</v>
      </c>
      <c r="L47" s="2"/>
    </row>
    <row r="48" spans="1:12" x14ac:dyDescent="0.2">
      <c r="A48" s="13" t="s">
        <v>39</v>
      </c>
      <c r="B48" s="12" t="s">
        <v>39</v>
      </c>
      <c r="C48" s="13" t="s">
        <v>39</v>
      </c>
      <c r="D48" s="13" t="s">
        <v>40</v>
      </c>
      <c r="E48" s="12" t="s">
        <v>80</v>
      </c>
      <c r="F48" s="13" t="s">
        <v>39</v>
      </c>
      <c r="G48" s="12" t="s">
        <v>81</v>
      </c>
      <c r="H48" s="12" t="s">
        <v>39</v>
      </c>
      <c r="I48" s="13">
        <v>1</v>
      </c>
      <c r="J48" s="13"/>
      <c r="K48" s="15">
        <v>0.2</v>
      </c>
      <c r="L48" s="2"/>
    </row>
    <row r="49" spans="1:14" x14ac:dyDescent="0.2">
      <c r="A49" s="13" t="s">
        <v>39</v>
      </c>
      <c r="B49" s="12" t="s">
        <v>39</v>
      </c>
      <c r="C49" s="13" t="s">
        <v>39</v>
      </c>
      <c r="D49" s="13" t="s">
        <v>40</v>
      </c>
      <c r="E49" s="12" t="s">
        <v>82</v>
      </c>
      <c r="F49" s="13" t="s">
        <v>39</v>
      </c>
      <c r="G49" s="12" t="s">
        <v>39</v>
      </c>
      <c r="H49" s="12" t="s">
        <v>39</v>
      </c>
      <c r="I49" s="13">
        <v>1</v>
      </c>
      <c r="J49" s="13"/>
      <c r="K49" s="15">
        <v>0.2</v>
      </c>
      <c r="L49" s="2"/>
    </row>
    <row r="50" spans="1:14" x14ac:dyDescent="0.2">
      <c r="A50" s="13" t="s">
        <v>39</v>
      </c>
      <c r="B50" s="12" t="s">
        <v>39</v>
      </c>
      <c r="C50" s="13" t="s">
        <v>39</v>
      </c>
      <c r="D50" s="13" t="s">
        <v>40</v>
      </c>
      <c r="E50" s="12" t="s">
        <v>83</v>
      </c>
      <c r="F50" s="13" t="s">
        <v>39</v>
      </c>
      <c r="G50" s="12" t="s">
        <v>39</v>
      </c>
      <c r="H50" s="12" t="s">
        <v>39</v>
      </c>
      <c r="I50" s="13">
        <v>1</v>
      </c>
      <c r="J50" s="13"/>
      <c r="K50" s="15">
        <v>0.30000000000000004</v>
      </c>
      <c r="L50" s="2"/>
    </row>
    <row r="51" spans="1:14" x14ac:dyDescent="0.2">
      <c r="A51" s="13" t="s">
        <v>39</v>
      </c>
      <c r="B51" s="12" t="s">
        <v>39</v>
      </c>
      <c r="C51" s="13" t="s">
        <v>39</v>
      </c>
      <c r="D51" s="13" t="s">
        <v>40</v>
      </c>
      <c r="E51" s="12" t="s">
        <v>84</v>
      </c>
      <c r="F51" s="13" t="s">
        <v>39</v>
      </c>
      <c r="G51" s="12" t="s">
        <v>85</v>
      </c>
      <c r="H51" s="12" t="s">
        <v>39</v>
      </c>
      <c r="I51" s="13">
        <v>1</v>
      </c>
      <c r="J51" s="13"/>
      <c r="K51" s="15">
        <v>0.30000000000000004</v>
      </c>
      <c r="L51" s="2"/>
    </row>
    <row r="52" spans="1:14" x14ac:dyDescent="0.2">
      <c r="A52" s="13" t="s">
        <v>39</v>
      </c>
      <c r="B52" s="12" t="s">
        <v>39</v>
      </c>
      <c r="C52" s="13" t="s">
        <v>39</v>
      </c>
      <c r="D52" s="13" t="s">
        <v>40</v>
      </c>
      <c r="E52" s="12" t="s">
        <v>86</v>
      </c>
      <c r="F52" s="13" t="s">
        <v>39</v>
      </c>
      <c r="G52" s="12" t="s">
        <v>75</v>
      </c>
      <c r="H52" s="12" t="s">
        <v>39</v>
      </c>
      <c r="I52" s="13">
        <v>1</v>
      </c>
      <c r="J52" s="13"/>
      <c r="K52" s="15">
        <v>0.4</v>
      </c>
      <c r="L52" s="2"/>
    </row>
    <row r="53" spans="1:14" x14ac:dyDescent="0.2">
      <c r="A53" s="13" t="s">
        <v>39</v>
      </c>
      <c r="B53" s="12" t="s">
        <v>39</v>
      </c>
      <c r="C53" s="13" t="s">
        <v>39</v>
      </c>
      <c r="D53" s="13" t="s">
        <v>40</v>
      </c>
      <c r="E53" s="12" t="s">
        <v>87</v>
      </c>
      <c r="F53" s="13" t="s">
        <v>39</v>
      </c>
      <c r="G53" s="12" t="s">
        <v>77</v>
      </c>
      <c r="H53" s="12" t="s">
        <v>39</v>
      </c>
      <c r="I53" s="13">
        <v>1</v>
      </c>
      <c r="J53" s="13"/>
      <c r="K53" s="15">
        <v>0.4</v>
      </c>
      <c r="L53" s="2"/>
    </row>
    <row r="54" spans="1:14" x14ac:dyDescent="0.2">
      <c r="A54" s="13" t="s">
        <v>39</v>
      </c>
      <c r="B54" s="12" t="s">
        <v>39</v>
      </c>
      <c r="C54" s="13" t="s">
        <v>39</v>
      </c>
      <c r="D54" s="13" t="s">
        <v>40</v>
      </c>
      <c r="E54" s="12" t="s">
        <v>88</v>
      </c>
      <c r="F54" s="13" t="s">
        <v>39</v>
      </c>
      <c r="G54" s="12" t="s">
        <v>89</v>
      </c>
      <c r="H54" s="12" t="s">
        <v>39</v>
      </c>
      <c r="I54" s="13">
        <v>1</v>
      </c>
      <c r="J54" s="13"/>
      <c r="K54" s="15">
        <v>0.5</v>
      </c>
      <c r="L54" s="2"/>
    </row>
    <row r="55" spans="1:14" ht="13.5" thickBot="1" x14ac:dyDescent="0.25">
      <c r="A55" s="13" t="s">
        <v>39</v>
      </c>
      <c r="B55" s="12" t="s">
        <v>39</v>
      </c>
      <c r="C55" s="13" t="s">
        <v>39</v>
      </c>
      <c r="D55" s="13" t="s">
        <v>40</v>
      </c>
      <c r="E55" s="12" t="s">
        <v>90</v>
      </c>
      <c r="F55" s="13" t="s">
        <v>39</v>
      </c>
      <c r="G55" s="12" t="s">
        <v>91</v>
      </c>
      <c r="H55" s="12" t="s">
        <v>39</v>
      </c>
      <c r="I55" s="13">
        <v>1</v>
      </c>
      <c r="J55" s="13"/>
      <c r="K55" s="15">
        <v>0.5</v>
      </c>
      <c r="L55" s="2"/>
    </row>
    <row r="56" spans="1:14" ht="64.5" thickBot="1" x14ac:dyDescent="0.25">
      <c r="A56" s="3" t="s">
        <v>15</v>
      </c>
      <c r="B56" s="3" t="s">
        <v>16</v>
      </c>
      <c r="C56" s="3" t="s">
        <v>10</v>
      </c>
      <c r="D56" s="3" t="s">
        <v>6</v>
      </c>
      <c r="E56" s="3" t="s">
        <v>1</v>
      </c>
      <c r="F56" s="3" t="s">
        <v>2</v>
      </c>
      <c r="G56" s="3" t="s">
        <v>8</v>
      </c>
      <c r="H56" s="3" t="s">
        <v>9</v>
      </c>
      <c r="I56" s="3" t="s">
        <v>23</v>
      </c>
      <c r="J56" s="3" t="s">
        <v>11</v>
      </c>
      <c r="K56" s="3" t="s">
        <v>3</v>
      </c>
      <c r="L56" s="4" t="s">
        <v>92</v>
      </c>
      <c r="M56" s="5" t="s">
        <v>4</v>
      </c>
      <c r="N56" s="6">
        <f>SUM(K57:K66)</f>
        <v>3.0999999999999996</v>
      </c>
    </row>
    <row r="57" spans="1:14" x14ac:dyDescent="0.2">
      <c r="A57" s="13" t="s">
        <v>93</v>
      </c>
      <c r="B57" s="12" t="s">
        <v>94</v>
      </c>
      <c r="C57" s="13" t="s">
        <v>41</v>
      </c>
      <c r="D57" s="12" t="s">
        <v>39</v>
      </c>
      <c r="E57" s="12" t="s">
        <v>39</v>
      </c>
      <c r="F57" s="12" t="s">
        <v>39</v>
      </c>
      <c r="G57" s="12" t="s">
        <v>39</v>
      </c>
      <c r="H57" s="12" t="s">
        <v>39</v>
      </c>
      <c r="I57" s="12" t="s">
        <v>39</v>
      </c>
      <c r="J57" s="12" t="s">
        <v>39</v>
      </c>
      <c r="K57" s="12" t="s">
        <v>39</v>
      </c>
      <c r="N57" s="2"/>
    </row>
    <row r="58" spans="1:14" x14ac:dyDescent="0.2">
      <c r="A58" s="13" t="s">
        <v>39</v>
      </c>
      <c r="B58" s="12" t="s">
        <v>39</v>
      </c>
      <c r="C58" s="13" t="s">
        <v>39</v>
      </c>
      <c r="D58" s="13" t="s">
        <v>40</v>
      </c>
      <c r="E58" s="12" t="s">
        <v>106</v>
      </c>
      <c r="F58" s="13" t="s">
        <v>39</v>
      </c>
      <c r="G58" s="12" t="s">
        <v>97</v>
      </c>
      <c r="H58" s="12" t="s">
        <v>39</v>
      </c>
      <c r="I58" s="13">
        <v>2</v>
      </c>
      <c r="J58" s="13"/>
      <c r="K58" s="40">
        <v>0.5</v>
      </c>
      <c r="L58" s="39"/>
    </row>
    <row r="59" spans="1:14" x14ac:dyDescent="0.2">
      <c r="A59" s="13" t="s">
        <v>39</v>
      </c>
      <c r="B59" s="12" t="s">
        <v>39</v>
      </c>
      <c r="C59" s="13" t="s">
        <v>39</v>
      </c>
      <c r="D59" s="13" t="s">
        <v>39</v>
      </c>
      <c r="E59" s="12" t="s">
        <v>39</v>
      </c>
      <c r="F59" s="13" t="s">
        <v>39</v>
      </c>
      <c r="G59" s="12" t="s">
        <v>98</v>
      </c>
      <c r="H59" s="12" t="s">
        <v>39</v>
      </c>
      <c r="I59" s="13"/>
      <c r="J59" s="13"/>
      <c r="K59" s="40"/>
      <c r="L59" s="39"/>
    </row>
    <row r="60" spans="1:14" x14ac:dyDescent="0.2">
      <c r="A60" s="13" t="s">
        <v>39</v>
      </c>
      <c r="B60" s="12" t="s">
        <v>39</v>
      </c>
      <c r="C60" s="13" t="s">
        <v>39</v>
      </c>
      <c r="D60" s="13" t="s">
        <v>40</v>
      </c>
      <c r="E60" s="12" t="s">
        <v>107</v>
      </c>
      <c r="F60" s="13" t="s">
        <v>39</v>
      </c>
      <c r="G60" s="12" t="s">
        <v>99</v>
      </c>
      <c r="H60" s="12" t="s">
        <v>39</v>
      </c>
      <c r="I60" s="13">
        <v>2</v>
      </c>
      <c r="J60" s="13"/>
      <c r="K60" s="40">
        <v>1.5</v>
      </c>
      <c r="L60" s="39"/>
    </row>
    <row r="61" spans="1:14" x14ac:dyDescent="0.2">
      <c r="A61" s="13" t="s">
        <v>39</v>
      </c>
      <c r="B61" s="12" t="s">
        <v>39</v>
      </c>
      <c r="C61" s="13" t="s">
        <v>39</v>
      </c>
      <c r="D61" s="13" t="s">
        <v>39</v>
      </c>
      <c r="E61" s="12" t="s">
        <v>39</v>
      </c>
      <c r="F61" s="13" t="s">
        <v>39</v>
      </c>
      <c r="G61" s="12" t="s">
        <v>100</v>
      </c>
      <c r="H61" s="12" t="s">
        <v>39</v>
      </c>
      <c r="I61" s="13"/>
      <c r="J61" s="13"/>
      <c r="K61" s="40"/>
      <c r="L61" s="39"/>
    </row>
    <row r="62" spans="1:14" x14ac:dyDescent="0.2">
      <c r="A62" s="13" t="s">
        <v>39</v>
      </c>
      <c r="B62" s="12" t="s">
        <v>39</v>
      </c>
      <c r="C62" s="13" t="s">
        <v>39</v>
      </c>
      <c r="D62" s="13" t="s">
        <v>39</v>
      </c>
      <c r="E62" s="12" t="s">
        <v>39</v>
      </c>
      <c r="F62" s="13" t="s">
        <v>39</v>
      </c>
      <c r="G62" s="12" t="s">
        <v>101</v>
      </c>
      <c r="H62" s="12" t="s">
        <v>39</v>
      </c>
      <c r="I62" s="13"/>
      <c r="J62" s="13"/>
      <c r="K62" s="40"/>
      <c r="L62" s="39"/>
    </row>
    <row r="63" spans="1:14" x14ac:dyDescent="0.2">
      <c r="A63" s="13" t="s">
        <v>39</v>
      </c>
      <c r="B63" s="12" t="s">
        <v>39</v>
      </c>
      <c r="C63" s="13" t="s">
        <v>39</v>
      </c>
      <c r="D63" s="13" t="s">
        <v>40</v>
      </c>
      <c r="E63" s="12" t="s">
        <v>108</v>
      </c>
      <c r="F63" s="13" t="s">
        <v>39</v>
      </c>
      <c r="G63" s="12" t="s">
        <v>102</v>
      </c>
      <c r="H63" s="12" t="s">
        <v>39</v>
      </c>
      <c r="I63" s="13">
        <v>2</v>
      </c>
      <c r="J63" s="13"/>
      <c r="K63" s="40">
        <v>0.5</v>
      </c>
      <c r="L63" s="39"/>
    </row>
    <row r="64" spans="1:14" x14ac:dyDescent="0.2">
      <c r="A64" s="13" t="s">
        <v>39</v>
      </c>
      <c r="B64" s="12" t="s">
        <v>39</v>
      </c>
      <c r="C64" s="13" t="s">
        <v>39</v>
      </c>
      <c r="D64" s="13" t="s">
        <v>39</v>
      </c>
      <c r="E64" s="12" t="s">
        <v>39</v>
      </c>
      <c r="F64" s="13" t="s">
        <v>39</v>
      </c>
      <c r="G64" s="12" t="s">
        <v>103</v>
      </c>
      <c r="H64" s="12" t="s">
        <v>39</v>
      </c>
      <c r="I64" s="13"/>
      <c r="J64" s="13"/>
      <c r="K64" s="40"/>
      <c r="L64" s="39"/>
    </row>
    <row r="65" spans="1:14" x14ac:dyDescent="0.2">
      <c r="A65" s="13" t="s">
        <v>39</v>
      </c>
      <c r="B65" s="12" t="s">
        <v>39</v>
      </c>
      <c r="C65" s="13" t="s">
        <v>39</v>
      </c>
      <c r="D65" s="13" t="s">
        <v>40</v>
      </c>
      <c r="E65" s="12" t="s">
        <v>95</v>
      </c>
      <c r="F65" s="13" t="s">
        <v>39</v>
      </c>
      <c r="G65" s="12" t="s">
        <v>104</v>
      </c>
      <c r="H65" s="12" t="s">
        <v>39</v>
      </c>
      <c r="I65" s="13">
        <v>2</v>
      </c>
      <c r="J65" s="13"/>
      <c r="K65" s="40">
        <v>0.3</v>
      </c>
      <c r="L65" s="39"/>
    </row>
    <row r="66" spans="1:14" x14ac:dyDescent="0.2">
      <c r="A66" s="13" t="s">
        <v>39</v>
      </c>
      <c r="B66" s="12" t="s">
        <v>39</v>
      </c>
      <c r="C66" s="13" t="s">
        <v>39</v>
      </c>
      <c r="D66" s="13" t="s">
        <v>40</v>
      </c>
      <c r="E66" s="12" t="s">
        <v>96</v>
      </c>
      <c r="F66" s="13" t="s">
        <v>39</v>
      </c>
      <c r="G66" s="12" t="s">
        <v>105</v>
      </c>
      <c r="H66" s="12" t="s">
        <v>39</v>
      </c>
      <c r="I66" s="13">
        <v>2</v>
      </c>
      <c r="J66" s="13"/>
      <c r="K66" s="40">
        <v>0.3</v>
      </c>
      <c r="L66" s="39"/>
    </row>
    <row r="67" spans="1:14" ht="13.5" thickBot="1" x14ac:dyDescent="0.25">
      <c r="A67" s="16" t="s">
        <v>39</v>
      </c>
      <c r="B67" s="16" t="s">
        <v>39</v>
      </c>
      <c r="C67" s="16" t="s">
        <v>39</v>
      </c>
      <c r="D67" s="16" t="s">
        <v>39</v>
      </c>
      <c r="E67" s="16" t="s">
        <v>39</v>
      </c>
      <c r="F67" s="16" t="s">
        <v>39</v>
      </c>
      <c r="G67" s="16" t="s">
        <v>39</v>
      </c>
      <c r="H67" s="16" t="s">
        <v>39</v>
      </c>
      <c r="I67" s="16" t="s">
        <v>39</v>
      </c>
      <c r="J67" s="16" t="s">
        <v>39</v>
      </c>
      <c r="K67" s="16" t="s">
        <v>39</v>
      </c>
    </row>
    <row r="70" spans="1:14" ht="40.5" x14ac:dyDescent="0.2">
      <c r="L70" s="4" t="s">
        <v>5</v>
      </c>
      <c r="M70" s="5" t="s">
        <v>4</v>
      </c>
      <c r="N70" s="6">
        <f>SUM(N1:N68)</f>
        <v>12</v>
      </c>
    </row>
  </sheetData>
  <mergeCells count="19">
    <mergeCell ref="B4:H4"/>
    <mergeCell ref="A3:K3"/>
    <mergeCell ref="A1:K1"/>
    <mergeCell ref="B5:H5"/>
    <mergeCell ref="B6:H6"/>
    <mergeCell ref="B7:H7"/>
    <mergeCell ref="B8:H8"/>
    <mergeCell ref="B9:H9"/>
    <mergeCell ref="A14:K14"/>
    <mergeCell ref="B15:J15"/>
    <mergeCell ref="I11:J11"/>
    <mergeCell ref="B10:H10"/>
    <mergeCell ref="B21:J21"/>
    <mergeCell ref="B22:J22"/>
    <mergeCell ref="B16:J16"/>
    <mergeCell ref="B17:J17"/>
    <mergeCell ref="B18:J18"/>
    <mergeCell ref="B19:J19"/>
    <mergeCell ref="B20:J20"/>
  </mergeCells>
  <phoneticPr fontId="1" type="noConversion"/>
  <pageMargins left="0.14000000000000001" right="0.14000000000000001" top="0.62" bottom="0.34" header="0.2" footer="0"/>
  <pageSetup paperSize="9" scale="50" orientation="landscape" horizontalDpi="360" verticalDpi="360" r:id="rId1"/>
  <headerFooter>
    <oddHeader>&amp;L&amp;"Calibri"&amp;10&amp;K000000 Official (Closed) and Sensitive-Normal&amp;1#_x000D_&amp;R&amp;G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109375" defaultRowHeight="12.75" x14ac:dyDescent="0.2"/>
  <cols>
    <col min="1" max="1" width="21.28515625" customWidth="1"/>
    <col min="2" max="2" width="28.7109375" customWidth="1"/>
    <col min="3" max="3" width="7.140625" customWidth="1"/>
    <col min="4" max="4" width="69.42578125" customWidth="1"/>
  </cols>
  <sheetData/>
  <pageMargins left="0.39000000000000007" right="0.39000000000000007" top="0.87" bottom="0.59" header="0.2" footer="0.2"/>
  <pageSetup paperSize="9" orientation="landscape" r:id="rId1"/>
  <headerFooter>
    <oddHeader>&amp;L&amp;"Calibri"&amp;10&amp;K000000 Official (Closed) and Sensitive-Normal&amp;1#_x000D_&amp;R&amp;G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user</cp:lastModifiedBy>
  <cp:lastPrinted>2025-02-26T06:44:29Z</cp:lastPrinted>
  <dcterms:created xsi:type="dcterms:W3CDTF">2010-04-27T04:25:00Z</dcterms:created>
  <dcterms:modified xsi:type="dcterms:W3CDTF">2025-02-26T06:49:18Z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0b6c4a-2c3e-4e80-8213-aa7256d4441d_Enabled">
    <vt:lpwstr>true</vt:lpwstr>
  </property>
  <property fmtid="{D5CDD505-2E9C-101B-9397-08002B2CF9AE}" pid="3" name="MSIP_Label_990b6c4a-2c3e-4e80-8213-aa7256d4441d_SetDate">
    <vt:lpwstr>2025-02-26T05:30:51Z</vt:lpwstr>
  </property>
  <property fmtid="{D5CDD505-2E9C-101B-9397-08002B2CF9AE}" pid="4" name="MSIP_Label_990b6c4a-2c3e-4e80-8213-aa7256d4441d_Method">
    <vt:lpwstr>Privileged</vt:lpwstr>
  </property>
  <property fmtid="{D5CDD505-2E9C-101B-9397-08002B2CF9AE}" pid="5" name="MSIP_Label_990b6c4a-2c3e-4e80-8213-aa7256d4441d_Name">
    <vt:lpwstr>SENSITIVE-NORMAL_0</vt:lpwstr>
  </property>
  <property fmtid="{D5CDD505-2E9C-101B-9397-08002B2CF9AE}" pid="6" name="MSIP_Label_990b6c4a-2c3e-4e80-8213-aa7256d4441d_SiteId">
    <vt:lpwstr>243ebaed-00d0-4690-a7dc-75893b0d9f98</vt:lpwstr>
  </property>
  <property fmtid="{D5CDD505-2E9C-101B-9397-08002B2CF9AE}" pid="7" name="MSIP_Label_990b6c4a-2c3e-4e80-8213-aa7256d4441d_ActionId">
    <vt:lpwstr>7b4c4860-9e54-4894-ba2a-5d70bdc9e25c</vt:lpwstr>
  </property>
  <property fmtid="{D5CDD505-2E9C-101B-9397-08002B2CF9AE}" pid="8" name="MSIP_Label_990b6c4a-2c3e-4e80-8213-aa7256d4441d_ContentBits">
    <vt:lpwstr>1</vt:lpwstr>
  </property>
  <property fmtid="{D5CDD505-2E9C-101B-9397-08002B2CF9AE}" pid="9" name="MSIP_Label_990b6c4a-2c3e-4e80-8213-aa7256d4441d_Tag">
    <vt:lpwstr>10, 0, 1, 1</vt:lpwstr>
  </property>
</Properties>
</file>